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2aacd5646094e6/Documentos/"/>
    </mc:Choice>
  </mc:AlternateContent>
  <xr:revisionPtr revIDLastSave="0" documentId="8_{F7B106F6-D2ED-8F42-BDC3-F0D07EA1D1CA}" xr6:coauthVersionLast="47" xr6:coauthVersionMax="47" xr10:uidLastSave="{00000000-0000-0000-0000-000000000000}"/>
  <bookViews>
    <workbookView xWindow="-20" yWindow="500" windowWidth="28800" windowHeight="16260" activeTab="4" xr2:uid="{B453268D-A1BF-F340-8E0E-F9091F3C7EFC}"/>
  </bookViews>
  <sheets>
    <sheet name="Average Payroll Rankings" sheetId="1" r:id="rId1"/>
    <sheet name="Playoff Apearances  - Win%" sheetId="2" r:id="rId2"/>
    <sheet name="Largest Free Agent Signing" sheetId="3" r:id="rId3"/>
    <sheet name="CP 6 Regression" sheetId="7" r:id="rId4"/>
    <sheet name="CP 7 Regression" sheetId="9" r:id="rId5"/>
    <sheet name="DataDictionary" sheetId="4" r:id="rId6"/>
    <sheet name="Relationships" sheetId="5" r:id="rId7"/>
  </sheets>
  <definedNames>
    <definedName name="_xlnm._FilterDatabase" localSheetId="0" hidden="1">'Average Payroll Rankings'!$A$1:$B$1</definedName>
    <definedName name="_xlnm._FilterDatabase" localSheetId="5" hidden="1">DataDictionary!$A$1:$G$31</definedName>
    <definedName name="_xlnm._FilterDatabase" localSheetId="2" hidden="1">'Largest Free Agent Signing'!$A$1:$E$31</definedName>
    <definedName name="_xlnm._FilterDatabase" localSheetId="1" hidden="1">'Playoff Apearances  - Win%'!$C$2:$AD$32</definedName>
    <definedName name="_xlchart.v1.0" hidden="1">DataDictionary!$Q$2:$Q$31</definedName>
    <definedName name="_xlchart.v1.1" hidden="1">DataDictionary!$G$2:$G$31</definedName>
    <definedName name="_xlchart.v1.2" hidden="1">DataDictionary!$J$2:$J$31</definedName>
    <definedName name="_xlchart.v1.3" hidden="1">DataDictionary!$B$1</definedName>
    <definedName name="_xlchart.v1.4" hidden="1">DataDictionary!$B$2:$B$31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6" i="4" l="1"/>
  <c r="D74" i="4"/>
  <c r="K15" i="4"/>
  <c r="K31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I31" i="4"/>
  <c r="J3" i="4"/>
  <c r="K3" i="4" s="1"/>
  <c r="J4" i="4"/>
  <c r="K4" i="4" s="1"/>
  <c r="J5" i="4"/>
  <c r="J6" i="4"/>
  <c r="J7" i="4"/>
  <c r="K7" i="4" s="1"/>
  <c r="J8" i="4"/>
  <c r="J9" i="4"/>
  <c r="K9" i="4" s="1"/>
  <c r="J10" i="4"/>
  <c r="K10" i="4" s="1"/>
  <c r="J11" i="4"/>
  <c r="K11" i="4" s="1"/>
  <c r="J12" i="4"/>
  <c r="K12" i="4" s="1"/>
  <c r="J13" i="4"/>
  <c r="J14" i="4"/>
  <c r="J15" i="4"/>
  <c r="J16" i="4"/>
  <c r="J17" i="4"/>
  <c r="K17" i="4" s="1"/>
  <c r="J18" i="4"/>
  <c r="K18" i="4" s="1"/>
  <c r="J19" i="4"/>
  <c r="K19" i="4" s="1"/>
  <c r="J20" i="4"/>
  <c r="K20" i="4" s="1"/>
  <c r="J21" i="4"/>
  <c r="J22" i="4"/>
  <c r="J23" i="4"/>
  <c r="K23" i="4" s="1"/>
  <c r="J24" i="4"/>
  <c r="J25" i="4"/>
  <c r="K25" i="4" s="1"/>
  <c r="J26" i="4"/>
  <c r="K26" i="4" s="1"/>
  <c r="J27" i="4"/>
  <c r="K27" i="4" s="1"/>
  <c r="J28" i="4"/>
  <c r="K28" i="4" s="1"/>
  <c r="J29" i="4"/>
  <c r="J30" i="4"/>
  <c r="J31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2" i="4"/>
  <c r="D3" i="4"/>
  <c r="E3" i="4"/>
  <c r="F3" i="4"/>
  <c r="G3" i="4"/>
  <c r="D4" i="4"/>
  <c r="E4" i="4"/>
  <c r="F4" i="4"/>
  <c r="G4" i="4"/>
  <c r="D5" i="4"/>
  <c r="E5" i="4"/>
  <c r="F5" i="4"/>
  <c r="G5" i="4"/>
  <c r="D6" i="4"/>
  <c r="E6" i="4"/>
  <c r="F6" i="4"/>
  <c r="G6" i="4"/>
  <c r="D7" i="4"/>
  <c r="E7" i="4"/>
  <c r="F7" i="4"/>
  <c r="G7" i="4"/>
  <c r="D8" i="4"/>
  <c r="E8" i="4"/>
  <c r="D9" i="4"/>
  <c r="E9" i="4"/>
  <c r="D10" i="4"/>
  <c r="E10" i="4"/>
  <c r="F10" i="4"/>
  <c r="G10" i="4"/>
  <c r="D11" i="4"/>
  <c r="E11" i="4"/>
  <c r="F11" i="4"/>
  <c r="G11" i="4"/>
  <c r="D12" i="4"/>
  <c r="E12" i="4"/>
  <c r="F12" i="4"/>
  <c r="G12" i="4"/>
  <c r="D13" i="4"/>
  <c r="E13" i="4"/>
  <c r="D14" i="4"/>
  <c r="E14" i="4"/>
  <c r="F14" i="4"/>
  <c r="G14" i="4"/>
  <c r="D15" i="4"/>
  <c r="E15" i="4"/>
  <c r="F15" i="4"/>
  <c r="G15" i="4"/>
  <c r="D16" i="4"/>
  <c r="E16" i="4"/>
  <c r="F16" i="4"/>
  <c r="G16" i="4"/>
  <c r="D17" i="4"/>
  <c r="E17" i="4"/>
  <c r="F17" i="4"/>
  <c r="G17" i="4"/>
  <c r="D18" i="4"/>
  <c r="E18" i="4"/>
  <c r="F18" i="4"/>
  <c r="G18" i="4"/>
  <c r="D19" i="4"/>
  <c r="E19" i="4"/>
  <c r="F19" i="4"/>
  <c r="G19" i="4"/>
  <c r="D20" i="4"/>
  <c r="E20" i="4"/>
  <c r="F20" i="4"/>
  <c r="G20" i="4"/>
  <c r="D21" i="4"/>
  <c r="E21" i="4"/>
  <c r="F21" i="4"/>
  <c r="G21" i="4"/>
  <c r="D22" i="4"/>
  <c r="E22" i="4"/>
  <c r="F22" i="4"/>
  <c r="G22" i="4"/>
  <c r="D23" i="4"/>
  <c r="E23" i="4"/>
  <c r="F23" i="4"/>
  <c r="G23" i="4"/>
  <c r="D24" i="4"/>
  <c r="E24" i="4"/>
  <c r="F24" i="4"/>
  <c r="G24" i="4"/>
  <c r="D25" i="4"/>
  <c r="E25" i="4"/>
  <c r="F25" i="4"/>
  <c r="G25" i="4"/>
  <c r="D26" i="4"/>
  <c r="E26" i="4"/>
  <c r="F26" i="4"/>
  <c r="G26" i="4"/>
  <c r="D27" i="4"/>
  <c r="E27" i="4"/>
  <c r="F27" i="4"/>
  <c r="G27" i="4"/>
  <c r="D28" i="4"/>
  <c r="E28" i="4"/>
  <c r="F28" i="4"/>
  <c r="G28" i="4"/>
  <c r="D29" i="4"/>
  <c r="E29" i="4"/>
  <c r="F29" i="4"/>
  <c r="G29" i="4"/>
  <c r="D30" i="4"/>
  <c r="E30" i="4"/>
  <c r="F30" i="4"/>
  <c r="G30" i="4"/>
  <c r="D31" i="4"/>
  <c r="E31" i="4"/>
  <c r="F31" i="4"/>
  <c r="G31" i="4"/>
  <c r="E2" i="4"/>
  <c r="F2" i="4"/>
  <c r="G2" i="4"/>
  <c r="D2" i="4"/>
  <c r="B18" i="4"/>
  <c r="B15" i="4"/>
  <c r="B9" i="4"/>
  <c r="B5" i="4"/>
  <c r="B10" i="4"/>
  <c r="B13" i="4"/>
  <c r="B23" i="4"/>
  <c r="B3" i="4"/>
  <c r="B28" i="4"/>
  <c r="B2" i="4"/>
  <c r="A2" i="4"/>
  <c r="B7" i="4"/>
  <c r="B29" i="4"/>
  <c r="B30" i="4"/>
  <c r="B27" i="4"/>
  <c r="B4" i="4"/>
  <c r="B14" i="4"/>
  <c r="B12" i="4"/>
  <c r="B31" i="4"/>
  <c r="B24" i="4"/>
  <c r="B25" i="4"/>
  <c r="B11" i="4"/>
  <c r="B8" i="4"/>
  <c r="B19" i="4"/>
  <c r="B16" i="4"/>
  <c r="A16" i="4"/>
  <c r="B21" i="4"/>
  <c r="B6" i="4"/>
  <c r="B20" i="4"/>
  <c r="B22" i="4"/>
  <c r="B26" i="4"/>
  <c r="B17" i="4"/>
  <c r="A28" i="4"/>
  <c r="A18" i="4"/>
  <c r="A15" i="4"/>
  <c r="A9" i="4"/>
  <c r="A5" i="4"/>
  <c r="A10" i="4"/>
  <c r="A13" i="4"/>
  <c r="A23" i="4"/>
  <c r="A3" i="4"/>
  <c r="A7" i="4"/>
  <c r="A29" i="4"/>
  <c r="A30" i="4"/>
  <c r="B78" i="4" s="1"/>
  <c r="A27" i="4"/>
  <c r="A4" i="4"/>
  <c r="A14" i="4"/>
  <c r="A12" i="4"/>
  <c r="A31" i="4"/>
  <c r="A24" i="4"/>
  <c r="A25" i="4"/>
  <c r="A11" i="4"/>
  <c r="A8" i="4"/>
  <c r="A19" i="4"/>
  <c r="A21" i="4"/>
  <c r="B69" i="4" s="1"/>
  <c r="A6" i="4"/>
  <c r="A20" i="4"/>
  <c r="A22" i="4"/>
  <c r="A26" i="4"/>
  <c r="A17" i="4"/>
  <c r="D65" i="4" s="1"/>
  <c r="G10" i="2"/>
  <c r="F10" i="2" s="1"/>
  <c r="F9" i="4" s="1"/>
  <c r="G14" i="2"/>
  <c r="F14" i="2" s="1"/>
  <c r="F13" i="4" s="1"/>
  <c r="G9" i="2"/>
  <c r="G8" i="4" s="1"/>
  <c r="F9" i="2"/>
  <c r="F8" i="4" s="1"/>
  <c r="B67" i="4" l="1"/>
  <c r="K13" i="4"/>
  <c r="B72" i="4"/>
  <c r="B66" i="4"/>
  <c r="B71" i="4"/>
  <c r="D71" i="4"/>
  <c r="D67" i="4"/>
  <c r="B68" i="4"/>
  <c r="B76" i="4"/>
  <c r="K30" i="4"/>
  <c r="K22" i="4"/>
  <c r="K14" i="4"/>
  <c r="K6" i="4"/>
  <c r="K29" i="4"/>
  <c r="K21" i="4"/>
  <c r="B74" i="4"/>
  <c r="D73" i="4"/>
  <c r="B77" i="4"/>
  <c r="K5" i="4"/>
  <c r="B70" i="4"/>
  <c r="D64" i="4"/>
  <c r="D68" i="4"/>
  <c r="D76" i="4"/>
  <c r="K2" i="4"/>
  <c r="K24" i="4"/>
  <c r="K16" i="4"/>
  <c r="K8" i="4"/>
  <c r="D72" i="4"/>
  <c r="G65" i="4"/>
  <c r="D75" i="4"/>
  <c r="B75" i="4"/>
  <c r="B64" i="4"/>
  <c r="D78" i="4"/>
  <c r="D70" i="4"/>
  <c r="B65" i="4"/>
  <c r="D77" i="4"/>
  <c r="D69" i="4"/>
  <c r="B73" i="4"/>
  <c r="G13" i="4"/>
  <c r="G9" i="4"/>
  <c r="D80" i="4" l="1"/>
  <c r="B80" i="4"/>
  <c r="B82" i="4" s="1"/>
  <c r="B107" i="4" l="1"/>
  <c r="B106" i="4"/>
  <c r="B114" i="4"/>
  <c r="B95" i="4"/>
  <c r="B101" i="4"/>
  <c r="B103" i="4"/>
  <c r="B96" i="4"/>
  <c r="B102" i="4"/>
  <c r="B111" i="4"/>
  <c r="B92" i="4"/>
  <c r="B110" i="4"/>
  <c r="B97" i="4"/>
  <c r="B104" i="4"/>
  <c r="B94" i="4"/>
  <c r="B113" i="4"/>
  <c r="B89" i="4"/>
  <c r="B100" i="4"/>
  <c r="B98" i="4"/>
  <c r="B115" i="4"/>
  <c r="B112" i="4"/>
  <c r="B87" i="4"/>
  <c r="B93" i="4"/>
  <c r="B99" i="4"/>
  <c r="B109" i="4"/>
  <c r="B90" i="4"/>
  <c r="B108" i="4"/>
  <c r="B91" i="4"/>
  <c r="B105" i="4"/>
  <c r="B88" i="4"/>
  <c r="B86" i="4"/>
</calcChain>
</file>

<file path=xl/sharedStrings.xml><?xml version="1.0" encoding="utf-8"?>
<sst xmlns="http://schemas.openxmlformats.org/spreadsheetml/2006/main" count="1553" uniqueCount="294">
  <si>
    <t> LAD</t>
  </si>
  <si>
    <t>-</t>
  </si>
  <si>
    <t> ATL</t>
  </si>
  <si>
    <t> NYM</t>
  </si>
  <si>
    <t> TOR</t>
  </si>
  <si>
    <t> NYY</t>
  </si>
  <si>
    <t> PHI</t>
  </si>
  <si>
    <t> HOU</t>
  </si>
  <si>
    <t> SD</t>
  </si>
  <si>
    <t> CHC</t>
  </si>
  <si>
    <t> TEX</t>
  </si>
  <si>
    <t> SF</t>
  </si>
  <si>
    <t> BOS</t>
  </si>
  <si>
    <t> LAA</t>
  </si>
  <si>
    <t> ARI</t>
  </si>
  <si>
    <t> SEA</t>
  </si>
  <si>
    <t> KC</t>
  </si>
  <si>
    <t> DET</t>
  </si>
  <si>
    <t> MIL</t>
  </si>
  <si>
    <t> STL</t>
  </si>
  <si>
    <t> COL</t>
  </si>
  <si>
    <t> ATH</t>
  </si>
  <si>
    <t> CHW</t>
  </si>
  <si>
    <t> MIN</t>
  </si>
  <si>
    <t> BAL</t>
  </si>
  <si>
    <t> CLE</t>
  </si>
  <si>
    <t> PIT</t>
  </si>
  <si>
    <t> TB</t>
  </si>
  <si>
    <t> CIN</t>
  </si>
  <si>
    <t> MIA</t>
  </si>
  <si>
    <t> WSH</t>
  </si>
  <si>
    <t>93-69 </t>
  </si>
  <si>
    <t>83-79 </t>
  </si>
  <si>
    <t>96-66 </t>
  </si>
  <si>
    <t>94-68 </t>
  </si>
  <si>
    <t>92-70 </t>
  </si>
  <si>
    <t>90-72 </t>
  </si>
  <si>
    <t>87-75 </t>
  </si>
  <si>
    <t>81-81 </t>
  </si>
  <si>
    <t>89-73 </t>
  </si>
  <si>
    <t>76-86 </t>
  </si>
  <si>
    <t>72-90 </t>
  </si>
  <si>
    <t>78-84 </t>
  </si>
  <si>
    <t>97-65 </t>
  </si>
  <si>
    <t>82-80 </t>
  </si>
  <si>
    <t>80-82 </t>
  </si>
  <si>
    <t>75-87 </t>
  </si>
  <si>
    <t>43-119 </t>
  </si>
  <si>
    <t>71-91 </t>
  </si>
  <si>
    <t>70-92 </t>
  </si>
  <si>
    <t>88-74 </t>
  </si>
  <si>
    <t>77-85 </t>
  </si>
  <si>
    <t>79-83 </t>
  </si>
  <si>
    <t>66-96 </t>
  </si>
  <si>
    <t>60-102 </t>
  </si>
  <si>
    <t>95-67 </t>
  </si>
  <si>
    <t>98-64 </t>
  </si>
  <si>
    <t>88-73 </t>
  </si>
  <si>
    <t>74-88 </t>
  </si>
  <si>
    <t>85-77 </t>
  </si>
  <si>
    <t>86-76 </t>
  </si>
  <si>
    <t>61-101 </t>
  </si>
  <si>
    <t>41-121 </t>
  </si>
  <si>
    <t>91-71 </t>
  </si>
  <si>
    <t>92-69 </t>
  </si>
  <si>
    <t>63-99 </t>
  </si>
  <si>
    <t> OAK</t>
  </si>
  <si>
    <t>69-93 </t>
  </si>
  <si>
    <t>62-100 </t>
  </si>
  <si>
    <t>Rank</t>
  </si>
  <si>
    <t>Team</t>
  </si>
  <si>
    <t>Record</t>
  </si>
  <si>
    <t>Age</t>
  </si>
  <si>
    <t>Active Payroll</t>
  </si>
  <si>
    <t>104-58 </t>
  </si>
  <si>
    <t>100-62 </t>
  </si>
  <si>
    <t>59-103 </t>
  </si>
  <si>
    <t>84-78 </t>
  </si>
  <si>
    <t>56-106 </t>
  </si>
  <si>
    <t>101-61 </t>
  </si>
  <si>
    <t>99-63 </t>
  </si>
  <si>
    <t>73-89 </t>
  </si>
  <si>
    <t>50-112 </t>
  </si>
  <si>
    <t>Team Payroll</t>
  </si>
  <si>
    <t>111-51 </t>
  </si>
  <si>
    <t>106-56 </t>
  </si>
  <si>
    <t>68-94 </t>
  </si>
  <si>
    <t>65-97 </t>
  </si>
  <si>
    <t>55-107 </t>
  </si>
  <si>
    <t>107-55 </t>
  </si>
  <si>
    <t>74-87 </t>
  </si>
  <si>
    <t>52-110 </t>
  </si>
  <si>
    <t>67-95 </t>
  </si>
  <si>
    <t>43-17 </t>
  </si>
  <si>
    <t>33-27 </t>
  </si>
  <si>
    <t>34-26 </t>
  </si>
  <si>
    <t>29-31 </t>
  </si>
  <si>
    <t>28-32 </t>
  </si>
  <si>
    <t>26-34 </t>
  </si>
  <si>
    <t>37-23 </t>
  </si>
  <si>
    <t>31-29 </t>
  </si>
  <si>
    <t>30-28 </t>
  </si>
  <si>
    <t>35-25 </t>
  </si>
  <si>
    <t>36-24 </t>
  </si>
  <si>
    <t>24-36 </t>
  </si>
  <si>
    <t>32-28 </t>
  </si>
  <si>
    <t>22-38 </t>
  </si>
  <si>
    <t>23-35 </t>
  </si>
  <si>
    <t>27-33 </t>
  </si>
  <si>
    <t>40-20 </t>
  </si>
  <si>
    <t>25-35 </t>
  </si>
  <si>
    <t>19-41 </t>
  </si>
  <si>
    <t>103-59 </t>
  </si>
  <si>
    <t>47-114 </t>
  </si>
  <si>
    <t>72-89 </t>
  </si>
  <si>
    <t>57-105 </t>
  </si>
  <si>
    <t>54-108 </t>
  </si>
  <si>
    <t>- </t>
  </si>
  <si>
    <t> FLA</t>
  </si>
  <si>
    <t> ATH/OAK</t>
  </si>
  <si>
    <t>Avg. Payroll (2011 - 2025)</t>
  </si>
  <si>
    <t> FLA/ MIA</t>
  </si>
  <si>
    <t>TEAM</t>
  </si>
  <si>
    <t>W</t>
  </si>
  <si>
    <t>L</t>
  </si>
  <si>
    <t>W%</t>
  </si>
  <si>
    <t>G</t>
  </si>
  <si>
    <t>AB</t>
  </si>
  <si>
    <t>R</t>
  </si>
  <si>
    <t>H</t>
  </si>
  <si>
    <t>2B</t>
  </si>
  <si>
    <t>3B</t>
  </si>
  <si>
    <t>HR</t>
  </si>
  <si>
    <t>RBI</t>
  </si>
  <si>
    <t>BB</t>
  </si>
  <si>
    <t>HBP</t>
  </si>
  <si>
    <t>SO</t>
  </si>
  <si>
    <t>SB</t>
  </si>
  <si>
    <t>CS</t>
  </si>
  <si>
    <t>PA</t>
  </si>
  <si>
    <t>TB</t>
  </si>
  <si>
    <t>XBH</t>
  </si>
  <si>
    <t>SH</t>
  </si>
  <si>
    <t>SF</t>
  </si>
  <si>
    <t>IBB</t>
  </si>
  <si>
    <t>GIDP</t>
  </si>
  <si>
    <t>AVG</t>
  </si>
  <si>
    <t>OBP</t>
  </si>
  <si>
    <t>SLG</t>
  </si>
  <si>
    <t>OPS</t>
  </si>
  <si>
    <t>Player</t>
  </si>
  <si>
    <t>Term</t>
  </si>
  <si>
    <t>Value</t>
  </si>
  <si>
    <t>Signed</t>
  </si>
  <si>
    <t>Mike Trout</t>
  </si>
  <si>
    <t>Jose Altuve</t>
  </si>
  <si>
    <t>Luis Severino</t>
  </si>
  <si>
    <t>Vladimir Guerrero Jr.</t>
  </si>
  <si>
    <t>Austin Riley</t>
  </si>
  <si>
    <t>Christian Yelich</t>
  </si>
  <si>
    <t>Paul Goldschmidt</t>
  </si>
  <si>
    <t>Jason Heyward</t>
  </si>
  <si>
    <t>Corbin Burnes</t>
  </si>
  <si>
    <t>Shohei Ohtani</t>
  </si>
  <si>
    <t>Willy Adames</t>
  </si>
  <si>
    <t>Jose Ramirez</t>
  </si>
  <si>
    <t>Robinson Cano</t>
  </si>
  <si>
    <t>Giancarlo Stanton</t>
  </si>
  <si>
    <t>Juan Soto</t>
  </si>
  <si>
    <t>Stephen Strasburg</t>
  </si>
  <si>
    <t>Chris Davis</t>
  </si>
  <si>
    <t>Fernando Tatis Jr.</t>
  </si>
  <si>
    <t>Bryce Harper</t>
  </si>
  <si>
    <t>Bryan Reynolds</t>
  </si>
  <si>
    <t>Corey Seager</t>
  </si>
  <si>
    <t>Wander Franco</t>
  </si>
  <si>
    <t>Rafael Devers</t>
  </si>
  <si>
    <t>Joey Votto</t>
  </si>
  <si>
    <t>Nolan Arenado</t>
  </si>
  <si>
    <t>Bobby Witt Jr.</t>
  </si>
  <si>
    <t>Miguel Cabrera</t>
  </si>
  <si>
    <t>Carlos Correa</t>
  </si>
  <si>
    <t>Andrew Benintendi</t>
  </si>
  <si>
    <t>Aaron Judge</t>
  </si>
  <si>
    <t>LAD</t>
  </si>
  <si>
    <t>HOU</t>
  </si>
  <si>
    <t>NYY</t>
  </si>
  <si>
    <t>STL</t>
  </si>
  <si>
    <t>TEX</t>
  </si>
  <si>
    <t>BOS</t>
  </si>
  <si>
    <t>PHI</t>
  </si>
  <si>
    <t>ATL</t>
  </si>
  <si>
    <t>KC</t>
  </si>
  <si>
    <t>DE</t>
  </si>
  <si>
    <t>CHC</t>
  </si>
  <si>
    <t>CLE</t>
  </si>
  <si>
    <t>TOR</t>
  </si>
  <si>
    <t>WSH</t>
  </si>
  <si>
    <t>NYM</t>
  </si>
  <si>
    <t>MIL</t>
  </si>
  <si>
    <t>SD</t>
  </si>
  <si>
    <t>ARI</t>
  </si>
  <si>
    <t>SEA</t>
  </si>
  <si>
    <t>ATH/OAK</t>
  </si>
  <si>
    <t>FLA/MIA</t>
  </si>
  <si>
    <t>CIN</t>
  </si>
  <si>
    <t>COL</t>
  </si>
  <si>
    <t>LAA</t>
  </si>
  <si>
    <t>CHW</t>
  </si>
  <si>
    <t>MIN</t>
  </si>
  <si>
    <t>PIT</t>
  </si>
  <si>
    <t>BAL</t>
  </si>
  <si>
    <t>DET</t>
  </si>
  <si>
    <t>AAV</t>
  </si>
  <si>
    <t>Years</t>
  </si>
  <si>
    <t>Owner</t>
  </si>
  <si>
    <t>Net Worth (USD)</t>
  </si>
  <si>
    <t>Arturo Moreno</t>
  </si>
  <si>
    <t>Jim Crane</t>
  </si>
  <si>
    <t>John Fisher</t>
  </si>
  <si>
    <t>Rogers Communications (Edward Rogers III)</t>
  </si>
  <si>
    <t>Liberty Media (John Malone)</t>
  </si>
  <si>
    <t>Mark Attanasio</t>
  </si>
  <si>
    <t>William DeWitt Jr.</t>
  </si>
  <si>
    <t>Ricketts family</t>
  </si>
  <si>
    <t>Ken Kendrick</t>
  </si>
  <si>
    <t>Guggenheim Baseball Management (Mark Walter)</t>
  </si>
  <si>
    <t>Charles B. Johnson</t>
  </si>
  <si>
    <t>Dolan family</t>
  </si>
  <si>
    <t>John Stanton</t>
  </si>
  <si>
    <t>Bruce Sherman</t>
  </si>
  <si>
    <t>Steve Cohen</t>
  </si>
  <si>
    <t>Lerner family</t>
  </si>
  <si>
    <t>Peter Angelos</t>
  </si>
  <si>
    <t>Peter Seidler / Seidler Equity Partners</t>
  </si>
  <si>
    <t>John Middleton</t>
  </si>
  <si>
    <t>Bob Nutting</t>
  </si>
  <si>
    <t>Stuart Sternberg</t>
  </si>
  <si>
    <t>John Henry</t>
  </si>
  <si>
    <t>Robert H. Castellini</t>
  </si>
  <si>
    <t>Richard L. Monfort</t>
  </si>
  <si>
    <t>John Sherman</t>
  </si>
  <si>
    <t>Ilitch Holdings</t>
  </si>
  <si>
    <t>Pohlad family</t>
  </si>
  <si>
    <t>Jerry Reinsdorf</t>
  </si>
  <si>
    <t>Steinbrenner family</t>
  </si>
  <si>
    <t>Ray Davis</t>
  </si>
  <si>
    <t>NL</t>
  </si>
  <si>
    <t>AL</t>
  </si>
  <si>
    <t>Payroll</t>
  </si>
  <si>
    <t>Average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</si>
  <si>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</si>
  <si>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</si>
  <si>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</si>
  <si>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</si>
  <si>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</si>
  <si>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</si>
  <si>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</si>
  <si>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</si>
  <si>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</si>
  <si>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</si>
  <si>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</si>
  <si>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</si>
  <si>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</si>
  <si>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</si>
  <si>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</si>
  <si>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</si>
  <si>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</si>
  <si>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</si>
  <si>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</si>
  <si>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</si>
  <si>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</si>
  <si>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</si>
  <si>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</si>
  <si>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</si>
  <si>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Correlaion</t>
  </si>
  <si>
    <t>Overall League Average</t>
  </si>
  <si>
    <t>Metric</t>
  </si>
  <si>
    <t>R²</t>
  </si>
  <si>
    <t>Relative Payroll</t>
  </si>
  <si>
    <t>CP6 (Avg Payroll)</t>
  </si>
  <si>
    <t>CP7 (Relative Payroll)</t>
  </si>
  <si>
    <t>Predictor(s)</t>
  </si>
  <si>
    <t>Average Payroll (raw dollars)</t>
  </si>
  <si>
    <t>Relative Payroll (ratio vs league avg)</t>
  </si>
  <si>
    <r>
      <t>0.382</t>
    </r>
    <r>
      <rPr>
        <sz val="12"/>
        <color rgb="FF000000"/>
        <rFont val="Aptos Narrow"/>
        <family val="2"/>
        <scheme val="minor"/>
      </rPr>
      <t> (essentially unchanged)</t>
    </r>
  </si>
  <si>
    <t>Adjusted R²</t>
  </si>
  <si>
    <t>F-statistic</t>
  </si>
  <si>
    <t>Payroll Coefficient</t>
  </si>
  <si>
    <t>very small (≈ 4.8e-7)</t>
  </si>
  <si>
    <t>Payroll P-value</t>
  </si>
  <si>
    <t>Interpretability</t>
  </si>
  <si>
    <t>Weak (due to scale of dollars)</t>
  </si>
  <si>
    <t>Strong (games per 1.0 payroll index)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</si>
</sst>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1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3"/>
      <color rgb="FF6C7C9B"/>
      <name val="Arial"/>
      <family val="2"/>
    </font>
    <font>
      <sz val="13"/>
      <color rgb="FF373F50"/>
      <name val="Arial"/>
      <family val="2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8"/>
      <color theme="1"/>
      <name val="Aptos Narrow"/>
      <scheme val="minor"/>
    </font>
    <font>
      <sz val="18"/>
      <color rgb="FF909396"/>
      <name val="Helvetica Neue"/>
      <family val="2"/>
    </font>
    <font>
      <sz val="18"/>
      <color rgb="FF151516"/>
      <name val="Helvetica Neue"/>
      <family val="2"/>
    </font>
    <font>
      <sz val="18"/>
      <color rgb="FF0086FF"/>
      <name val="Helvetica Neue"/>
      <family val="2"/>
    </font>
    <font>
      <sz val="14"/>
      <color rgb="FF909396"/>
      <name val="Helvetica Neue"/>
      <family val="2"/>
    </font>
    <font>
      <sz val="12"/>
      <color rgb="FF00000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4" fillId="0" borderId="0" xfId="2"/>
    <xf numFmtId="6" fontId="3" fillId="0" borderId="0" xfId="0" applyNumberFormat="1" applyFont="1"/>
    <xf numFmtId="6" fontId="2" fillId="0" borderId="0" xfId="0" applyNumberFormat="1" applyFont="1"/>
    <xf numFmtId="0" fontId="2" fillId="0" borderId="1" xfId="0" applyFont="1" applyBorder="1"/>
    <xf numFmtId="0" fontId="4" fillId="0" borderId="1" xfId="2" applyBorder="1"/>
    <xf numFmtId="6" fontId="3" fillId="0" borderId="1" xfId="0" applyNumberFormat="1" applyFont="1" applyBorder="1"/>
    <xf numFmtId="6" fontId="2" fillId="0" borderId="1" xfId="0" applyNumberFormat="1" applyFont="1" applyBorder="1"/>
    <xf numFmtId="0" fontId="0" fillId="0" borderId="1" xfId="0" applyBorder="1"/>
    <xf numFmtId="0" fontId="4" fillId="0" borderId="0" xfId="2" applyBorder="1"/>
    <xf numFmtId="0" fontId="5" fillId="0" borderId="0" xfId="0" applyFont="1"/>
    <xf numFmtId="0" fontId="6" fillId="0" borderId="2" xfId="0" applyFont="1" applyBorder="1"/>
    <xf numFmtId="0" fontId="4" fillId="0" borderId="2" xfId="2" applyBorder="1"/>
    <xf numFmtId="6" fontId="0" fillId="0" borderId="2" xfId="0" applyNumberFormat="1" applyBorder="1"/>
    <xf numFmtId="0" fontId="0" fillId="0" borderId="2" xfId="0" applyBorder="1"/>
    <xf numFmtId="0" fontId="2" fillId="0" borderId="2" xfId="0" applyFont="1" applyBorder="1"/>
    <xf numFmtId="0" fontId="7" fillId="0" borderId="0" xfId="0" applyFont="1"/>
    <xf numFmtId="0" fontId="9" fillId="0" borderId="0" xfId="0" applyFont="1"/>
    <xf numFmtId="0" fontId="8" fillId="0" borderId="0" xfId="0" applyFont="1"/>
    <xf numFmtId="3" fontId="8" fillId="0" borderId="0" xfId="0" applyNumberFormat="1" applyFont="1"/>
    <xf numFmtId="0" fontId="10" fillId="0" borderId="0" xfId="0" applyFont="1"/>
    <xf numFmtId="14" fontId="0" fillId="0" borderId="0" xfId="0" applyNumberFormat="1"/>
    <xf numFmtId="0" fontId="6" fillId="0" borderId="3" xfId="0" applyFont="1" applyBorder="1"/>
    <xf numFmtId="0" fontId="0" fillId="0" borderId="4" xfId="0" applyBorder="1"/>
    <xf numFmtId="0" fontId="0" fillId="0" borderId="5" xfId="0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0" fillId="0" borderId="9" xfId="0" applyBorder="1"/>
    <xf numFmtId="10" fontId="0" fillId="0" borderId="0" xfId="1" applyNumberFormat="1" applyFont="1" applyBorder="1"/>
    <xf numFmtId="0" fontId="0" fillId="0" borderId="10" xfId="0" applyBorder="1"/>
    <xf numFmtId="0" fontId="0" fillId="0" borderId="11" xfId="0" applyBorder="1"/>
    <xf numFmtId="10" fontId="0" fillId="0" borderId="1" xfId="1" applyNumberFormat="1" applyFont="1" applyBorder="1"/>
    <xf numFmtId="0" fontId="0" fillId="0" borderId="12" xfId="0" applyBorder="1"/>
    <xf numFmtId="14" fontId="0" fillId="0" borderId="1" xfId="0" applyNumberFormat="1" applyBorder="1"/>
    <xf numFmtId="0" fontId="6" fillId="0" borderId="0" xfId="0" applyFont="1"/>
    <xf numFmtId="44" fontId="0" fillId="0" borderId="0" xfId="3" applyFont="1"/>
    <xf numFmtId="44" fontId="0" fillId="0" borderId="0" xfId="3" applyFont="1" applyBorder="1"/>
    <xf numFmtId="44" fontId="0" fillId="0" borderId="1" xfId="3" applyFont="1" applyBorder="1"/>
    <xf numFmtId="44" fontId="0" fillId="0" borderId="0" xfId="0" applyNumberFormat="1"/>
    <xf numFmtId="44" fontId="0" fillId="0" borderId="1" xfId="0" applyNumberFormat="1" applyBorder="1"/>
    <xf numFmtId="0" fontId="6" fillId="0" borderId="3" xfId="3" applyNumberFormat="1" applyFont="1" applyBorder="1"/>
    <xf numFmtId="0" fontId="0" fillId="0" borderId="4" xfId="3" applyNumberFormat="1" applyFont="1" applyBorder="1"/>
    <xf numFmtId="0" fontId="0" fillId="0" borderId="5" xfId="3" applyNumberFormat="1" applyFont="1" applyBorder="1"/>
    <xf numFmtId="0" fontId="0" fillId="0" borderId="0" xfId="3" applyNumberFormat="1" applyFont="1"/>
    <xf numFmtId="0" fontId="0" fillId="0" borderId="10" xfId="3" applyNumberFormat="1" applyFont="1" applyBorder="1"/>
    <xf numFmtId="0" fontId="0" fillId="0" borderId="12" xfId="3" applyNumberFormat="1" applyFont="1" applyBorder="1"/>
    <xf numFmtId="0" fontId="5" fillId="0" borderId="6" xfId="0" applyFont="1" applyBorder="1"/>
    <xf numFmtId="0" fontId="5" fillId="0" borderId="7" xfId="3" applyNumberFormat="1" applyFont="1" applyBorder="1"/>
    <xf numFmtId="0" fontId="5" fillId="0" borderId="8" xfId="3" applyNumberFormat="1" applyFont="1" applyBorder="1"/>
    <xf numFmtId="0" fontId="11" fillId="0" borderId="9" xfId="0" applyFont="1" applyBorder="1"/>
    <xf numFmtId="0" fontId="0" fillId="0" borderId="0" xfId="3" applyNumberFormat="1" applyFont="1" applyBorder="1"/>
    <xf numFmtId="0" fontId="0" fillId="0" borderId="1" xfId="3" applyNumberFormat="1" applyFont="1" applyBorder="1"/>
    <xf numFmtId="0" fontId="0" fillId="0" borderId="13" xfId="0" applyBorder="1"/>
    <xf numFmtId="0" fontId="12" fillId="0" borderId="14" xfId="0" applyFont="1" applyBorder="1" applyAlignment="1">
      <alignment horizontal="center"/>
    </xf>
    <xf numFmtId="0" fontId="12" fillId="0" borderId="14" xfId="0" applyFont="1" applyBorder="1" applyAlignment="1">
      <alignment horizontal="centerContinuous"/>
    </xf>
    <xf numFmtId="0" fontId="13" fillId="0" borderId="0" xfId="0" applyFont="1"/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</cellXfs>
  <cellStyles count="4">
    <cellStyle name="Currency" xfId="3" builtinId="4"/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Avg. Payroll vs. Playoff</a:t>
            </a:r>
            <a:r>
              <a:rPr lang="en-US" baseline="0"/>
              <a:t> Games played Since 2011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Team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885E5C9-5D0E-E544-A34C-F67E1D6007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CF8A-4547-841C-51484D411D1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59D766F-F388-BE43-9560-D06D751F28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F8A-4547-841C-51484D411D1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2391EA6-5D6C-7740-90EC-B36277A7FE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F8A-4547-841C-51484D411D1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FE110EB-7CA8-6443-AAB5-900A5D82EA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F8A-4547-841C-51484D411D1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D640BF9-D7BB-664E-B754-E6B435D8A2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F8A-4547-841C-51484D411D1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1F14071-5C70-9A47-BD5C-9B517B9C46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F8A-4547-841C-51484D411D1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415E5C7-08B5-2B4D-95EB-3252221D4B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F8A-4547-841C-51484D411D1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EDFC13D-4C1B-A542-B2BA-483F5CE2B9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F8A-4547-841C-51484D411D1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34BBF0C-9375-B449-80B8-E26B471D2A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F8A-4547-841C-51484D411D1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CFB2F6B-26EC-C549-BD88-2C69570AB5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CF8A-4547-841C-51484D411D1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E1DE549-603E-F441-99EC-702BE8A706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F8A-4547-841C-51484D411D1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04D790E-AA01-044E-9595-19B095B79C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F8A-4547-841C-51484D411D1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1F7ABBA-8D3E-EC48-B5BD-0DDEF90852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F8A-4547-841C-51484D411D1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04140F6-E8B5-5743-8E73-25AFB6A5C6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CF8A-4547-841C-51484D411D12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55004BF-6986-3346-8E69-3CA4A18572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F8A-4547-841C-51484D411D1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97FB7DB-2FF5-F14C-ADEB-DFA568F663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CF8A-4547-841C-51484D411D12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54FD867-CC2F-7346-8988-EAFC72C1C0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CF8A-4547-841C-51484D411D12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C8030E32-9714-DF40-9208-77E3FACFF8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CF8A-4547-841C-51484D411D12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2E84B51-656A-B64D-BF46-687ACD4725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CF8A-4547-841C-51484D411D1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2364AC13-23EB-DC4D-B846-1C89F82CAE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CF8A-4547-841C-51484D411D12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9B330AAF-DB06-AF44-B800-95C983EB18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CF8A-4547-841C-51484D411D12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CB5C1DE7-78F1-BA49-8F6B-BAC2DAEC12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CF8A-4547-841C-51484D411D12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6B47BF34-BDFC-B64D-9355-56074A6895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CF8A-4547-841C-51484D411D12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63DAD7EA-70AC-E246-A7E7-B10CAE4DEE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CF8A-4547-841C-51484D411D12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15D1DFE1-C580-6F49-97B8-1D079121C7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CF8A-4547-841C-51484D411D12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7FD0FF08-A9E2-C543-BD16-7C2D5505A3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CF8A-4547-841C-51484D411D12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E1D32764-C63F-9D41-84ED-ABFCD2F2A8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CF8A-4547-841C-51484D411D12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5E308DF7-C0FF-534B-B9F3-FDA98EF3C0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CF8A-4547-841C-51484D411D12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77681ADF-79D6-924D-A3C9-1BFEA9CC00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CF8A-4547-841C-51484D411D12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B0E5F637-4FB5-6047-9347-77AFF46552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CF8A-4547-841C-51484D411D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DataDictionary!$B$2:$B$31</c:f>
              <c:numCache>
                <c:formatCode>General</c:formatCode>
                <c:ptCount val="30"/>
                <c:pt idx="0">
                  <c:v>106423328.06666666</c:v>
                </c:pt>
                <c:pt idx="1">
                  <c:v>72760230</c:v>
                </c:pt>
                <c:pt idx="2">
                  <c:v>137132011.13333333</c:v>
                </c:pt>
                <c:pt idx="3">
                  <c:v>99300083.266666666</c:v>
                </c:pt>
                <c:pt idx="4">
                  <c:v>188257976.07142857</c:v>
                </c:pt>
                <c:pt idx="5">
                  <c:v>158070425.06666666</c:v>
                </c:pt>
                <c:pt idx="6">
                  <c:v>114527835.59999999</c:v>
                </c:pt>
                <c:pt idx="7">
                  <c:v>101999983.2</c:v>
                </c:pt>
                <c:pt idx="8">
                  <c:v>88724100.733333334</c:v>
                </c:pt>
                <c:pt idx="9">
                  <c:v>117714881</c:v>
                </c:pt>
                <c:pt idx="10">
                  <c:v>134997503.86666667</c:v>
                </c:pt>
                <c:pt idx="11">
                  <c:v>75294152.066666663</c:v>
                </c:pt>
                <c:pt idx="12">
                  <c:v>136585891.13333333</c:v>
                </c:pt>
                <c:pt idx="13">
                  <c:v>102048448.53333333</c:v>
                </c:pt>
                <c:pt idx="14">
                  <c:v>164645919.53333333</c:v>
                </c:pt>
                <c:pt idx="15">
                  <c:v>229894653.40000001</c:v>
                </c:pt>
                <c:pt idx="16">
                  <c:v>102423038.93333334</c:v>
                </c:pt>
                <c:pt idx="17">
                  <c:v>113605922.8</c:v>
                </c:pt>
                <c:pt idx="18">
                  <c:v>180637794.13333333</c:v>
                </c:pt>
                <c:pt idx="19">
                  <c:v>209023728.25</c:v>
                </c:pt>
                <c:pt idx="20">
                  <c:v>172716183.06666666</c:v>
                </c:pt>
                <c:pt idx="21">
                  <c:v>73389085</c:v>
                </c:pt>
                <c:pt idx="22">
                  <c:v>124571453.46666667</c:v>
                </c:pt>
                <c:pt idx="23">
                  <c:v>120914727.13333334</c:v>
                </c:pt>
                <c:pt idx="24">
                  <c:v>165348328</c:v>
                </c:pt>
                <c:pt idx="25">
                  <c:v>139401892.06666666</c:v>
                </c:pt>
                <c:pt idx="26">
                  <c:v>71519541.599999994</c:v>
                </c:pt>
                <c:pt idx="27">
                  <c:v>153111014.73333332</c:v>
                </c:pt>
                <c:pt idx="28">
                  <c:v>149266188.73333332</c:v>
                </c:pt>
                <c:pt idx="29">
                  <c:v>128384333.53333333</c:v>
                </c:pt>
              </c:numCache>
            </c:numRef>
          </c:xVal>
          <c:yVal>
            <c:numRef>
              <c:f>DataDictionary!$G$2:$G$31</c:f>
              <c:numCache>
                <c:formatCode>General</c:formatCode>
                <c:ptCount val="30"/>
                <c:pt idx="0">
                  <c:v>26</c:v>
                </c:pt>
                <c:pt idx="1">
                  <c:v>20</c:v>
                </c:pt>
                <c:pt idx="2">
                  <c:v>56</c:v>
                </c:pt>
                <c:pt idx="3">
                  <c:v>19</c:v>
                </c:pt>
                <c:pt idx="4">
                  <c:v>51</c:v>
                </c:pt>
                <c:pt idx="5">
                  <c:v>47</c:v>
                </c:pt>
                <c:pt idx="6">
                  <c:v>7</c:v>
                </c:pt>
                <c:pt idx="7">
                  <c:v>11</c:v>
                </c:pt>
                <c:pt idx="8">
                  <c:v>46</c:v>
                </c:pt>
                <c:pt idx="9">
                  <c:v>2</c:v>
                </c:pt>
                <c:pt idx="10">
                  <c:v>53</c:v>
                </c:pt>
                <c:pt idx="11">
                  <c:v>5</c:v>
                </c:pt>
                <c:pt idx="12">
                  <c:v>105</c:v>
                </c:pt>
                <c:pt idx="13">
                  <c:v>37</c:v>
                </c:pt>
                <c:pt idx="14">
                  <c:v>0</c:v>
                </c:pt>
                <c:pt idx="15">
                  <c:v>136</c:v>
                </c:pt>
                <c:pt idx="16">
                  <c:v>42</c:v>
                </c:pt>
                <c:pt idx="17">
                  <c:v>15</c:v>
                </c:pt>
                <c:pt idx="18">
                  <c:v>31</c:v>
                </c:pt>
                <c:pt idx="19">
                  <c:v>89</c:v>
                </c:pt>
                <c:pt idx="20">
                  <c:v>52</c:v>
                </c:pt>
                <c:pt idx="21">
                  <c:v>8</c:v>
                </c:pt>
                <c:pt idx="22">
                  <c:v>28</c:v>
                </c:pt>
                <c:pt idx="23">
                  <c:v>17</c:v>
                </c:pt>
                <c:pt idx="24">
                  <c:v>58</c:v>
                </c:pt>
                <c:pt idx="25">
                  <c:v>76</c:v>
                </c:pt>
                <c:pt idx="26">
                  <c:v>48</c:v>
                </c:pt>
                <c:pt idx="27">
                  <c:v>59</c:v>
                </c:pt>
                <c:pt idx="28">
                  <c:v>44</c:v>
                </c:pt>
                <c:pt idx="29">
                  <c:v>36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DataDictionary!$A$2:$A$31</c15:f>
                <c15:dlblRangeCache>
                  <c:ptCount val="30"/>
                  <c:pt idx="0">
                    <c:v> ARI</c:v>
                  </c:pt>
                  <c:pt idx="1">
                    <c:v> ATH/OAK</c:v>
                  </c:pt>
                  <c:pt idx="2">
                    <c:v> ATL</c:v>
                  </c:pt>
                  <c:pt idx="3">
                    <c:v> BAL</c:v>
                  </c:pt>
                  <c:pt idx="4">
                    <c:v> BOS</c:v>
                  </c:pt>
                  <c:pt idx="5">
                    <c:v> CHC</c:v>
                  </c:pt>
                  <c:pt idx="6">
                    <c:v> CHW</c:v>
                  </c:pt>
                  <c:pt idx="7">
                    <c:v> CIN</c:v>
                  </c:pt>
                  <c:pt idx="8">
                    <c:v> CLE</c:v>
                  </c:pt>
                  <c:pt idx="9">
                    <c:v> COL</c:v>
                  </c:pt>
                  <c:pt idx="10">
                    <c:v> DET</c:v>
                  </c:pt>
                  <c:pt idx="11">
                    <c:v> FLA/ MIA</c:v>
                  </c:pt>
                  <c:pt idx="12">
                    <c:v> HOU</c:v>
                  </c:pt>
                  <c:pt idx="13">
                    <c:v> KC</c:v>
                  </c:pt>
                  <c:pt idx="14">
                    <c:v> LAA</c:v>
                  </c:pt>
                  <c:pt idx="15">
                    <c:v> LAD</c:v>
                  </c:pt>
                  <c:pt idx="16">
                    <c:v> MIL</c:v>
                  </c:pt>
                  <c:pt idx="17">
                    <c:v> MIN</c:v>
                  </c:pt>
                  <c:pt idx="18">
                    <c:v> NYM</c:v>
                  </c:pt>
                  <c:pt idx="19">
                    <c:v> NYY</c:v>
                  </c:pt>
                  <c:pt idx="20">
                    <c:v> PHI</c:v>
                  </c:pt>
                  <c:pt idx="21">
                    <c:v> PIT</c:v>
                  </c:pt>
                  <c:pt idx="22">
                    <c:v> SD</c:v>
                  </c:pt>
                  <c:pt idx="23">
                    <c:v> SEA</c:v>
                  </c:pt>
                  <c:pt idx="24">
                    <c:v> SF</c:v>
                  </c:pt>
                  <c:pt idx="25">
                    <c:v> STL</c:v>
                  </c:pt>
                  <c:pt idx="26">
                    <c:v> TB</c:v>
                  </c:pt>
                  <c:pt idx="27">
                    <c:v> TEX</c:v>
                  </c:pt>
                  <c:pt idx="28">
                    <c:v> TOR</c:v>
                  </c:pt>
                  <c:pt idx="29">
                    <c:v> WSH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F-CF8A-4547-841C-51484D411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9619439"/>
        <c:axId val="1741159999"/>
      </c:scatterChart>
      <c:valAx>
        <c:axId val="171961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Avg. Payroll Since 2011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159999"/>
        <c:crosses val="autoZero"/>
        <c:crossBetween val="midCat"/>
      </c:valAx>
      <c:valAx>
        <c:axId val="174115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Playoff Games</a:t>
                </a:r>
                <a:r>
                  <a:rPr lang="en-US" baseline="0"/>
                  <a:t> Played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61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Avg. Payroll Since 2011 vs. Largest Contract by AAV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DataDictionary!$B$1</c:f>
              <c:strCache>
                <c:ptCount val="1"/>
                <c:pt idx="0">
                  <c:v>Avg. Payroll (2011 - 2025)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DataDictionary!$A$2:$A$31</c:f>
              <c:strCache>
                <c:ptCount val="30"/>
                <c:pt idx="0">
                  <c:v> ARI</c:v>
                </c:pt>
                <c:pt idx="1">
                  <c:v> ATH/OAK</c:v>
                </c:pt>
                <c:pt idx="2">
                  <c:v> ATL</c:v>
                </c:pt>
                <c:pt idx="3">
                  <c:v> BAL</c:v>
                </c:pt>
                <c:pt idx="4">
                  <c:v> BOS</c:v>
                </c:pt>
                <c:pt idx="5">
                  <c:v> CHC</c:v>
                </c:pt>
                <c:pt idx="6">
                  <c:v> CHW</c:v>
                </c:pt>
                <c:pt idx="7">
                  <c:v> CIN</c:v>
                </c:pt>
                <c:pt idx="8">
                  <c:v> CLE</c:v>
                </c:pt>
                <c:pt idx="9">
                  <c:v> COL</c:v>
                </c:pt>
                <c:pt idx="10">
                  <c:v> DET</c:v>
                </c:pt>
                <c:pt idx="11">
                  <c:v> FLA/ MIA</c:v>
                </c:pt>
                <c:pt idx="12">
                  <c:v> HOU</c:v>
                </c:pt>
                <c:pt idx="13">
                  <c:v> KC</c:v>
                </c:pt>
                <c:pt idx="14">
                  <c:v> LAA</c:v>
                </c:pt>
                <c:pt idx="15">
                  <c:v> LAD</c:v>
                </c:pt>
                <c:pt idx="16">
                  <c:v> MIL</c:v>
                </c:pt>
                <c:pt idx="17">
                  <c:v> MIN</c:v>
                </c:pt>
                <c:pt idx="18">
                  <c:v> NYM</c:v>
                </c:pt>
                <c:pt idx="19">
                  <c:v> NYY</c:v>
                </c:pt>
                <c:pt idx="20">
                  <c:v> PHI</c:v>
                </c:pt>
                <c:pt idx="21">
                  <c:v> PIT</c:v>
                </c:pt>
                <c:pt idx="22">
                  <c:v> SD</c:v>
                </c:pt>
                <c:pt idx="23">
                  <c:v> SEA</c:v>
                </c:pt>
                <c:pt idx="24">
                  <c:v> SF</c:v>
                </c:pt>
                <c:pt idx="25">
                  <c:v> STL</c:v>
                </c:pt>
                <c:pt idx="26">
                  <c:v> TB</c:v>
                </c:pt>
                <c:pt idx="27">
                  <c:v> TEX</c:v>
                </c:pt>
                <c:pt idx="28">
                  <c:v> TOR</c:v>
                </c:pt>
                <c:pt idx="29">
                  <c:v> WSH</c:v>
                </c:pt>
              </c:strCache>
            </c:strRef>
          </c:cat>
          <c:val>
            <c:numRef>
              <c:f>DataDictionary!$B$2:$B$31</c:f>
              <c:numCache>
                <c:formatCode>General</c:formatCode>
                <c:ptCount val="30"/>
                <c:pt idx="0">
                  <c:v>106423328.06666666</c:v>
                </c:pt>
                <c:pt idx="1">
                  <c:v>72760230</c:v>
                </c:pt>
                <c:pt idx="2">
                  <c:v>137132011.13333333</c:v>
                </c:pt>
                <c:pt idx="3">
                  <c:v>99300083.266666666</c:v>
                </c:pt>
                <c:pt idx="4">
                  <c:v>188257976.07142857</c:v>
                </c:pt>
                <c:pt idx="5">
                  <c:v>158070425.06666666</c:v>
                </c:pt>
                <c:pt idx="6">
                  <c:v>114527835.59999999</c:v>
                </c:pt>
                <c:pt idx="7">
                  <c:v>101999983.2</c:v>
                </c:pt>
                <c:pt idx="8">
                  <c:v>88724100.733333334</c:v>
                </c:pt>
                <c:pt idx="9">
                  <c:v>117714881</c:v>
                </c:pt>
                <c:pt idx="10">
                  <c:v>134997503.86666667</c:v>
                </c:pt>
                <c:pt idx="11">
                  <c:v>75294152.066666663</c:v>
                </c:pt>
                <c:pt idx="12">
                  <c:v>136585891.13333333</c:v>
                </c:pt>
                <c:pt idx="13">
                  <c:v>102048448.53333333</c:v>
                </c:pt>
                <c:pt idx="14">
                  <c:v>164645919.53333333</c:v>
                </c:pt>
                <c:pt idx="15">
                  <c:v>229894653.40000001</c:v>
                </c:pt>
                <c:pt idx="16">
                  <c:v>102423038.93333334</c:v>
                </c:pt>
                <c:pt idx="17">
                  <c:v>113605922.8</c:v>
                </c:pt>
                <c:pt idx="18">
                  <c:v>180637794.13333333</c:v>
                </c:pt>
                <c:pt idx="19">
                  <c:v>209023728.25</c:v>
                </c:pt>
                <c:pt idx="20">
                  <c:v>172716183.06666666</c:v>
                </c:pt>
                <c:pt idx="21">
                  <c:v>73389085</c:v>
                </c:pt>
                <c:pt idx="22">
                  <c:v>124571453.46666667</c:v>
                </c:pt>
                <c:pt idx="23">
                  <c:v>120914727.13333334</c:v>
                </c:pt>
                <c:pt idx="24">
                  <c:v>165348328</c:v>
                </c:pt>
                <c:pt idx="25">
                  <c:v>139401892.06666666</c:v>
                </c:pt>
                <c:pt idx="26">
                  <c:v>71519541.599999994</c:v>
                </c:pt>
                <c:pt idx="27">
                  <c:v>153111014.73333332</c:v>
                </c:pt>
                <c:pt idx="28">
                  <c:v>149266188.73333332</c:v>
                </c:pt>
                <c:pt idx="29">
                  <c:v>128384333.53333333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CB-EE42-95ED-7CB58B412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13219295"/>
        <c:axId val="1913231727"/>
      </c:barChart>
      <c:lineChart>
        <c:grouping val="standard"/>
        <c:varyColors val="0"/>
        <c:ser>
          <c:idx val="1"/>
          <c:order val="1"/>
          <c:tx>
            <c:strRef>
              <c:f>DataDictionary!$K$1</c:f>
              <c:strCache>
                <c:ptCount val="1"/>
                <c:pt idx="0">
                  <c:v>AAV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DataDictionary!$A$2:$A$31</c:f>
              <c:strCache>
                <c:ptCount val="30"/>
                <c:pt idx="0">
                  <c:v> ARI</c:v>
                </c:pt>
                <c:pt idx="1">
                  <c:v> ATH/OAK</c:v>
                </c:pt>
                <c:pt idx="2">
                  <c:v> ATL</c:v>
                </c:pt>
                <c:pt idx="3">
                  <c:v> BAL</c:v>
                </c:pt>
                <c:pt idx="4">
                  <c:v> BOS</c:v>
                </c:pt>
                <c:pt idx="5">
                  <c:v> CHC</c:v>
                </c:pt>
                <c:pt idx="6">
                  <c:v> CHW</c:v>
                </c:pt>
                <c:pt idx="7">
                  <c:v> CIN</c:v>
                </c:pt>
                <c:pt idx="8">
                  <c:v> CLE</c:v>
                </c:pt>
                <c:pt idx="9">
                  <c:v> COL</c:v>
                </c:pt>
                <c:pt idx="10">
                  <c:v> DET</c:v>
                </c:pt>
                <c:pt idx="11">
                  <c:v> FLA/ MIA</c:v>
                </c:pt>
                <c:pt idx="12">
                  <c:v> HOU</c:v>
                </c:pt>
                <c:pt idx="13">
                  <c:v> KC</c:v>
                </c:pt>
                <c:pt idx="14">
                  <c:v> LAA</c:v>
                </c:pt>
                <c:pt idx="15">
                  <c:v> LAD</c:v>
                </c:pt>
                <c:pt idx="16">
                  <c:v> MIL</c:v>
                </c:pt>
                <c:pt idx="17">
                  <c:v> MIN</c:v>
                </c:pt>
                <c:pt idx="18">
                  <c:v> NYM</c:v>
                </c:pt>
                <c:pt idx="19">
                  <c:v> NYY</c:v>
                </c:pt>
                <c:pt idx="20">
                  <c:v> PHI</c:v>
                </c:pt>
                <c:pt idx="21">
                  <c:v> PIT</c:v>
                </c:pt>
                <c:pt idx="22">
                  <c:v> SD</c:v>
                </c:pt>
                <c:pt idx="23">
                  <c:v> SEA</c:v>
                </c:pt>
                <c:pt idx="24">
                  <c:v> SF</c:v>
                </c:pt>
                <c:pt idx="25">
                  <c:v> STL</c:v>
                </c:pt>
                <c:pt idx="26">
                  <c:v> TB</c:v>
                </c:pt>
                <c:pt idx="27">
                  <c:v> TEX</c:v>
                </c:pt>
                <c:pt idx="28">
                  <c:v> TOR</c:v>
                </c:pt>
                <c:pt idx="29">
                  <c:v> WSH</c:v>
                </c:pt>
              </c:strCache>
            </c:strRef>
          </c:cat>
          <c:val>
            <c:numRef>
              <c:f>DataDictionary!$K$2:$K$31</c:f>
              <c:numCache>
                <c:formatCode>_("$"* #,##0.00_);_("$"* \(#,##0.00\);_("$"* "-"??_);_(@_)</c:formatCode>
                <c:ptCount val="30"/>
                <c:pt idx="0">
                  <c:v>35000000</c:v>
                </c:pt>
                <c:pt idx="1">
                  <c:v>22333333.333333332</c:v>
                </c:pt>
                <c:pt idx="2">
                  <c:v>21200000</c:v>
                </c:pt>
                <c:pt idx="3">
                  <c:v>23000000</c:v>
                </c:pt>
                <c:pt idx="4">
                  <c:v>31350000</c:v>
                </c:pt>
                <c:pt idx="5">
                  <c:v>23000000</c:v>
                </c:pt>
                <c:pt idx="6">
                  <c:v>15000000</c:v>
                </c:pt>
                <c:pt idx="7">
                  <c:v>22500000</c:v>
                </c:pt>
                <c:pt idx="8">
                  <c:v>18428571.428571429</c:v>
                </c:pt>
                <c:pt idx="9">
                  <c:v>33428571.428571429</c:v>
                </c:pt>
                <c:pt idx="10">
                  <c:v>31000000</c:v>
                </c:pt>
                <c:pt idx="11">
                  <c:v>25000000</c:v>
                </c:pt>
                <c:pt idx="12">
                  <c:v>26250000</c:v>
                </c:pt>
                <c:pt idx="13">
                  <c:v>26272727.272727273</c:v>
                </c:pt>
                <c:pt idx="14">
                  <c:v>36000000</c:v>
                </c:pt>
                <c:pt idx="15">
                  <c:v>70000000</c:v>
                </c:pt>
                <c:pt idx="16">
                  <c:v>26928571.428571429</c:v>
                </c:pt>
                <c:pt idx="17">
                  <c:v>33333333.333333332</c:v>
                </c:pt>
                <c:pt idx="18">
                  <c:v>51000000</c:v>
                </c:pt>
                <c:pt idx="19">
                  <c:v>40000000</c:v>
                </c:pt>
                <c:pt idx="20">
                  <c:v>25384615.384615384</c:v>
                </c:pt>
                <c:pt idx="21">
                  <c:v>14285714.285714285</c:v>
                </c:pt>
                <c:pt idx="22">
                  <c:v>24285714.285714287</c:v>
                </c:pt>
                <c:pt idx="23">
                  <c:v>24000000</c:v>
                </c:pt>
                <c:pt idx="24">
                  <c:v>26000000</c:v>
                </c:pt>
                <c:pt idx="25">
                  <c:v>26000000</c:v>
                </c:pt>
                <c:pt idx="26">
                  <c:v>16545454.545454545</c:v>
                </c:pt>
                <c:pt idx="27">
                  <c:v>32500000</c:v>
                </c:pt>
                <c:pt idx="28">
                  <c:v>35714285.714285716</c:v>
                </c:pt>
                <c:pt idx="29">
                  <c:v>35000000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CB-EE42-95ED-7CB58B412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3219295"/>
        <c:axId val="1913231727"/>
      </c:lineChart>
      <c:catAx>
        <c:axId val="191321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231727"/>
        <c:crosses val="autoZero"/>
        <c:auto val="1"/>
        <c:lblAlgn val="ctr"/>
        <c:lblOffset val="100"/>
        <c:noMultiLvlLbl val="0"/>
      </c:catAx>
      <c:valAx>
        <c:axId val="191323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21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Owner Net Worth</a:t>
            </a:r>
            <a:r>
              <a:rPr lang="en-US" baseline="0"/>
              <a:t> vs. AAV vs. Playoff Games Played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CA5FF235-52FA-0C4C-BF1F-E9AC23D92A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A70D-CF46-B533-C8266D54721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09ED949-BCD1-C346-83ED-1537E821CA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70D-CF46-B533-C8266D54721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3DD2CE9-5490-164C-A2DB-3D0C10F7E4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70D-CF46-B533-C8266D54721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2AB0EAD-339B-EC4E-A8A2-41CE1BD893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70D-CF46-B533-C8266D54721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DDB9E79-8A26-914C-ADB8-5240DFD647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70D-CF46-B533-C8266D54721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BDF5D11-1765-9A43-90E0-5CDA6D1ED9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70D-CF46-B533-C8266D54721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D1B059F-F41C-3A43-AB73-09330E8860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70D-CF46-B533-C8266D54721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43EFDB5-696E-0C4C-9BBC-F7B1626798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70D-CF46-B533-C8266D54721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00C288C-B92A-E54B-ADEE-9B8ACF8589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70D-CF46-B533-C8266D54721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3201F5C-9F2E-144E-B455-15E1FC5341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70D-CF46-B533-C8266D54721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8B36FCB-7D18-E14D-87AC-4C0216DF0B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70D-CF46-B533-C8266D54721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1E5B271-B1A0-3449-803D-AC03C94C0F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70D-CF46-B533-C8266D54721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0A24F52-BD9B-D149-BF1C-B84045B9F4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70D-CF46-B533-C8266D54721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427A7AD-213C-6045-8A16-93535F51EF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70D-CF46-B533-C8266D54721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51F95E1-3388-AC42-B142-BA6A581B91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70D-CF46-B533-C8266D54721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A091327-97B9-CF4E-A41B-03051C52A7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A70D-CF46-B533-C8266D54721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F286AA0-1F0B-A448-9E45-32934258F2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70D-CF46-B533-C8266D54721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2F33C916-F3BC-D047-A45F-C325D5F23A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70D-CF46-B533-C8266D54721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64781ACF-620B-F147-9127-122730C7BB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A70D-CF46-B533-C8266D54721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6AD00397-5179-3540-83C1-E59368AAA0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A70D-CF46-B533-C8266D54721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53DE2726-36B2-DC4C-80A7-613441FF73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A70D-CF46-B533-C8266D54721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F607D42B-E743-4F4B-B74D-59C50FB898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A70D-CF46-B533-C8266D54721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926DF42F-3485-B64D-9A72-1A529638A7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A70D-CF46-B533-C8266D547217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8DB22E56-3F1F-5443-9BCA-F3ABF9E533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A70D-CF46-B533-C8266D54721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0AFCCF16-D630-5E43-BF5A-C2BDC650A8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A70D-CF46-B533-C8266D547217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55836F6A-30D2-3642-AD4B-C12F22CE03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A70D-CF46-B533-C8266D54721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2BB4DF38-2E18-BF48-9703-EB9CF67BAE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A70D-CF46-B533-C8266D547217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EDFC6BF8-7FD2-A740-A995-45324138AF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A70D-CF46-B533-C8266D54721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1D8090EA-BBE2-7A4D-8C21-8857D44E34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A70D-CF46-B533-C8266D547217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1EA6A86F-EC40-1A49-ADB3-337AD3C24B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A70D-CF46-B533-C8266D5472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DataDictionary!$B$2:$B$31</c:f>
              <c:numCache>
                <c:formatCode>General</c:formatCode>
                <c:ptCount val="30"/>
                <c:pt idx="0">
                  <c:v>106423328.06666666</c:v>
                </c:pt>
                <c:pt idx="1">
                  <c:v>72760230</c:v>
                </c:pt>
                <c:pt idx="2">
                  <c:v>137132011.13333333</c:v>
                </c:pt>
                <c:pt idx="3">
                  <c:v>99300083.266666666</c:v>
                </c:pt>
                <c:pt idx="4">
                  <c:v>188257976.07142857</c:v>
                </c:pt>
                <c:pt idx="5">
                  <c:v>158070425.06666666</c:v>
                </c:pt>
                <c:pt idx="6">
                  <c:v>114527835.59999999</c:v>
                </c:pt>
                <c:pt idx="7">
                  <c:v>101999983.2</c:v>
                </c:pt>
                <c:pt idx="8">
                  <c:v>88724100.733333334</c:v>
                </c:pt>
                <c:pt idx="9">
                  <c:v>117714881</c:v>
                </c:pt>
                <c:pt idx="10">
                  <c:v>134997503.86666667</c:v>
                </c:pt>
                <c:pt idx="11">
                  <c:v>75294152.066666663</c:v>
                </c:pt>
                <c:pt idx="12">
                  <c:v>136585891.13333333</c:v>
                </c:pt>
                <c:pt idx="13">
                  <c:v>102048448.53333333</c:v>
                </c:pt>
                <c:pt idx="14">
                  <c:v>164645919.53333333</c:v>
                </c:pt>
                <c:pt idx="15">
                  <c:v>229894653.40000001</c:v>
                </c:pt>
                <c:pt idx="16">
                  <c:v>102423038.93333334</c:v>
                </c:pt>
                <c:pt idx="17">
                  <c:v>113605922.8</c:v>
                </c:pt>
                <c:pt idx="18">
                  <c:v>180637794.13333333</c:v>
                </c:pt>
                <c:pt idx="19">
                  <c:v>209023728.25</c:v>
                </c:pt>
                <c:pt idx="20">
                  <c:v>172716183.06666666</c:v>
                </c:pt>
                <c:pt idx="21">
                  <c:v>73389085</c:v>
                </c:pt>
                <c:pt idx="22">
                  <c:v>124571453.46666667</c:v>
                </c:pt>
                <c:pt idx="23">
                  <c:v>120914727.13333334</c:v>
                </c:pt>
                <c:pt idx="24">
                  <c:v>165348328</c:v>
                </c:pt>
                <c:pt idx="25">
                  <c:v>139401892.06666666</c:v>
                </c:pt>
                <c:pt idx="26">
                  <c:v>71519541.599999994</c:v>
                </c:pt>
                <c:pt idx="27">
                  <c:v>153111014.73333332</c:v>
                </c:pt>
                <c:pt idx="28">
                  <c:v>149266188.73333332</c:v>
                </c:pt>
                <c:pt idx="29">
                  <c:v>128384333.53333333</c:v>
                </c:pt>
              </c:numCache>
            </c:numRef>
          </c:xVal>
          <c:yVal>
            <c:numRef>
              <c:f>DataDictionary!$G$2:$G$31</c:f>
              <c:numCache>
                <c:formatCode>General</c:formatCode>
                <c:ptCount val="30"/>
                <c:pt idx="0">
                  <c:v>26</c:v>
                </c:pt>
                <c:pt idx="1">
                  <c:v>20</c:v>
                </c:pt>
                <c:pt idx="2">
                  <c:v>56</c:v>
                </c:pt>
                <c:pt idx="3">
                  <c:v>19</c:v>
                </c:pt>
                <c:pt idx="4">
                  <c:v>51</c:v>
                </c:pt>
                <c:pt idx="5">
                  <c:v>47</c:v>
                </c:pt>
                <c:pt idx="6">
                  <c:v>7</c:v>
                </c:pt>
                <c:pt idx="7">
                  <c:v>11</c:v>
                </c:pt>
                <c:pt idx="8">
                  <c:v>46</c:v>
                </c:pt>
                <c:pt idx="9">
                  <c:v>2</c:v>
                </c:pt>
                <c:pt idx="10">
                  <c:v>53</c:v>
                </c:pt>
                <c:pt idx="11">
                  <c:v>5</c:v>
                </c:pt>
                <c:pt idx="12">
                  <c:v>105</c:v>
                </c:pt>
                <c:pt idx="13">
                  <c:v>37</c:v>
                </c:pt>
                <c:pt idx="14">
                  <c:v>0</c:v>
                </c:pt>
                <c:pt idx="15">
                  <c:v>136</c:v>
                </c:pt>
                <c:pt idx="16">
                  <c:v>42</c:v>
                </c:pt>
                <c:pt idx="17">
                  <c:v>15</c:v>
                </c:pt>
                <c:pt idx="18">
                  <c:v>31</c:v>
                </c:pt>
                <c:pt idx="19">
                  <c:v>89</c:v>
                </c:pt>
                <c:pt idx="20">
                  <c:v>52</c:v>
                </c:pt>
                <c:pt idx="21">
                  <c:v>8</c:v>
                </c:pt>
                <c:pt idx="22">
                  <c:v>28</c:v>
                </c:pt>
                <c:pt idx="23">
                  <c:v>17</c:v>
                </c:pt>
                <c:pt idx="24">
                  <c:v>58</c:v>
                </c:pt>
                <c:pt idx="25">
                  <c:v>76</c:v>
                </c:pt>
                <c:pt idx="26">
                  <c:v>48</c:v>
                </c:pt>
                <c:pt idx="27">
                  <c:v>59</c:v>
                </c:pt>
                <c:pt idx="28">
                  <c:v>44</c:v>
                </c:pt>
                <c:pt idx="29">
                  <c:v>36</c:v>
                </c:pt>
              </c:numCache>
            </c:numRef>
          </c:yVal>
          <c:bubbleSize>
            <c:numRef>
              <c:f>DataDictionary!$Q$2:$Q$31</c:f>
              <c:numCache>
                <c:formatCode>General</c:formatCode>
                <c:ptCount val="30"/>
                <c:pt idx="0">
                  <c:v>600000000</c:v>
                </c:pt>
                <c:pt idx="1">
                  <c:v>2600000000</c:v>
                </c:pt>
                <c:pt idx="2">
                  <c:v>8000000000</c:v>
                </c:pt>
                <c:pt idx="3">
                  <c:v>2000000000</c:v>
                </c:pt>
                <c:pt idx="4">
                  <c:v>3600000000</c:v>
                </c:pt>
                <c:pt idx="5">
                  <c:v>4500000000</c:v>
                </c:pt>
                <c:pt idx="6">
                  <c:v>1700000000</c:v>
                </c:pt>
                <c:pt idx="7">
                  <c:v>400000000</c:v>
                </c:pt>
                <c:pt idx="8">
                  <c:v>4600000000</c:v>
                </c:pt>
                <c:pt idx="9">
                  <c:v>700000000</c:v>
                </c:pt>
                <c:pt idx="10">
                  <c:v>3800000000</c:v>
                </c:pt>
                <c:pt idx="11">
                  <c:v>500000000</c:v>
                </c:pt>
                <c:pt idx="12">
                  <c:v>1400000000</c:v>
                </c:pt>
                <c:pt idx="13">
                  <c:v>1250000000</c:v>
                </c:pt>
                <c:pt idx="14">
                  <c:v>3600000000</c:v>
                </c:pt>
                <c:pt idx="15">
                  <c:v>5000000000</c:v>
                </c:pt>
                <c:pt idx="16">
                  <c:v>700000000</c:v>
                </c:pt>
                <c:pt idx="17">
                  <c:v>3800000000</c:v>
                </c:pt>
                <c:pt idx="18">
                  <c:v>15900000000</c:v>
                </c:pt>
                <c:pt idx="19">
                  <c:v>3800000000</c:v>
                </c:pt>
                <c:pt idx="20">
                  <c:v>3400000000</c:v>
                </c:pt>
                <c:pt idx="21">
                  <c:v>1100000000</c:v>
                </c:pt>
                <c:pt idx="22">
                  <c:v>3000000000</c:v>
                </c:pt>
                <c:pt idx="23">
                  <c:v>1100000000</c:v>
                </c:pt>
                <c:pt idx="24">
                  <c:v>5800000000</c:v>
                </c:pt>
                <c:pt idx="25">
                  <c:v>4000000000</c:v>
                </c:pt>
                <c:pt idx="26">
                  <c:v>800000000</c:v>
                </c:pt>
                <c:pt idx="27">
                  <c:v>2200000000</c:v>
                </c:pt>
                <c:pt idx="28">
                  <c:v>11500000000</c:v>
                </c:pt>
                <c:pt idx="29">
                  <c:v>4900000000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DataDictionary!$A$2:$A$31</c15:f>
                <c15:dlblRangeCache>
                  <c:ptCount val="30"/>
                  <c:pt idx="0">
                    <c:v> ARI</c:v>
                  </c:pt>
                  <c:pt idx="1">
                    <c:v> ATH/OAK</c:v>
                  </c:pt>
                  <c:pt idx="2">
                    <c:v> ATL</c:v>
                  </c:pt>
                  <c:pt idx="3">
                    <c:v> BAL</c:v>
                  </c:pt>
                  <c:pt idx="4">
                    <c:v> BOS</c:v>
                  </c:pt>
                  <c:pt idx="5">
                    <c:v> CHC</c:v>
                  </c:pt>
                  <c:pt idx="6">
                    <c:v> CHW</c:v>
                  </c:pt>
                  <c:pt idx="7">
                    <c:v> CIN</c:v>
                  </c:pt>
                  <c:pt idx="8">
                    <c:v> CLE</c:v>
                  </c:pt>
                  <c:pt idx="9">
                    <c:v> COL</c:v>
                  </c:pt>
                  <c:pt idx="10">
                    <c:v> DET</c:v>
                  </c:pt>
                  <c:pt idx="11">
                    <c:v> FLA/ MIA</c:v>
                  </c:pt>
                  <c:pt idx="12">
                    <c:v> HOU</c:v>
                  </c:pt>
                  <c:pt idx="13">
                    <c:v> KC</c:v>
                  </c:pt>
                  <c:pt idx="14">
                    <c:v> LAA</c:v>
                  </c:pt>
                  <c:pt idx="15">
                    <c:v> LAD</c:v>
                  </c:pt>
                  <c:pt idx="16">
                    <c:v> MIL</c:v>
                  </c:pt>
                  <c:pt idx="17">
                    <c:v> MIN</c:v>
                  </c:pt>
                  <c:pt idx="18">
                    <c:v> NYM</c:v>
                  </c:pt>
                  <c:pt idx="19">
                    <c:v> NYY</c:v>
                  </c:pt>
                  <c:pt idx="20">
                    <c:v> PHI</c:v>
                  </c:pt>
                  <c:pt idx="21">
                    <c:v> PIT</c:v>
                  </c:pt>
                  <c:pt idx="22">
                    <c:v> SD</c:v>
                  </c:pt>
                  <c:pt idx="23">
                    <c:v> SEA</c:v>
                  </c:pt>
                  <c:pt idx="24">
                    <c:v> SF</c:v>
                  </c:pt>
                  <c:pt idx="25">
                    <c:v> STL</c:v>
                  </c:pt>
                  <c:pt idx="26">
                    <c:v> TB</c:v>
                  </c:pt>
                  <c:pt idx="27">
                    <c:v> TEX</c:v>
                  </c:pt>
                  <c:pt idx="28">
                    <c:v> TOR</c:v>
                  </c:pt>
                  <c:pt idx="29">
                    <c:v> WSH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E-A70D-CF46-B533-C8266D547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734519247"/>
        <c:axId val="1991898815"/>
      </c:bubbleChart>
      <c:valAx>
        <c:axId val="1734519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AAV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898815"/>
        <c:crosses val="autoZero"/>
        <c:crossBetween val="midCat"/>
      </c:valAx>
      <c:valAx>
        <c:axId val="199189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Playoff Games Played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519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Avg. Payroll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Avg. Payroll</a:t>
          </a:r>
        </a:p>
      </cx:txPr>
    </cx:title>
    <cx:plotArea>
      <cx:plotAreaRegion>
        <cx:series layoutId="clusteredColumn" uniqueId="{F082689D-4E57-1B4D-B3E7-1D00ED4F495C}">
          <cx:tx>
            <cx:txData>
              <cx:f>_xlchart.v1.3</cx:f>
              <cx:v>Avg. Payroll (2011 - 2025)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Playoff Games Played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Playoff Games Played</a:t>
          </a:r>
        </a:p>
      </cx:txPr>
    </cx:title>
    <cx:plotArea>
      <cx:plotAreaRegion>
        <cx:series layoutId="clusteredColumn" uniqueId="{F9CE6B97-9991-154C-A084-B137FB431083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Value of Largest Contract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Value of Largest Contract</a:t>
          </a:r>
        </a:p>
      </cx:txPr>
    </cx:title>
    <cx:plotArea>
      <cx:plotAreaRegion>
        <cx:series layoutId="clusteredColumn" uniqueId="{C5086E65-AF19-8B4B-9C3C-73A127F17F06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Owner Net Worth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Owner Net Worth</a:t>
          </a:r>
        </a:p>
      </cx:txPr>
    </cx:title>
    <cx:plotArea>
      <cx:plotAreaRegion>
        <cx:series layoutId="clusteredColumn" uniqueId="{393A8D54-9633-AE4C-89B6-38578B8059CF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145109</xdr:colOff>
      <xdr:row>37</xdr:row>
      <xdr:rowOff>23519</xdr:rowOff>
    </xdr:from>
    <xdr:to>
      <xdr:col>8</xdr:col>
      <xdr:colOff>141111</xdr:colOff>
      <xdr:row>60</xdr:row>
      <xdr:rowOff>199436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AA155256-650B-D291-6135-4ACEE67FE4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109" y="7643519"/>
              <a:ext cx="9419402" cy="48495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48213</xdr:colOff>
      <xdr:row>37</xdr:row>
      <xdr:rowOff>39511</xdr:rowOff>
    </xdr:from>
    <xdr:to>
      <xdr:col>15</xdr:col>
      <xdr:colOff>1669815</xdr:colOff>
      <xdr:row>61</xdr:row>
      <xdr:rowOff>23518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2C9D945F-AC12-F93F-365C-699B87F89F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97113" y="7659511"/>
              <a:ext cx="7743002" cy="486080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2494137</xdr:colOff>
      <xdr:row>37</xdr:row>
      <xdr:rowOff>15991</xdr:rowOff>
    </xdr:from>
    <xdr:to>
      <xdr:col>23</xdr:col>
      <xdr:colOff>35277</xdr:colOff>
      <xdr:row>62</xdr:row>
      <xdr:rowOff>35276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B9E32625-CA16-4308-A456-AD6C74D259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64437" y="7635991"/>
              <a:ext cx="7370940" cy="50992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24</xdr:col>
      <xdr:colOff>36454</xdr:colOff>
      <xdr:row>36</xdr:row>
      <xdr:rowOff>168861</xdr:rowOff>
    </xdr:from>
    <xdr:to>
      <xdr:col>33</xdr:col>
      <xdr:colOff>764351</xdr:colOff>
      <xdr:row>60</xdr:row>
      <xdr:rowOff>176388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6DC198F0-2318-8C54-A25E-F9348731CC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062054" y="7585661"/>
              <a:ext cx="8157397" cy="488432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11</xdr:col>
      <xdr:colOff>286950</xdr:colOff>
      <xdr:row>24</xdr:row>
      <xdr:rowOff>189137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BF4B97-4BDC-9E46-B9B3-5CCDFD96D4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24</xdr:col>
      <xdr:colOff>641810</xdr:colOff>
      <xdr:row>24</xdr:row>
      <xdr:rowOff>23990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3214AF-4D58-3E4B-8D4F-5712C77AEA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2</xdr:row>
      <xdr:rowOff>0</xdr:rowOff>
    </xdr:from>
    <xdr:to>
      <xdr:col>37</xdr:col>
      <xdr:colOff>800100</xdr:colOff>
      <xdr:row>23</xdr:row>
      <xdr:rowOff>144671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A92B77-C445-6F48-B16E-FE0EED3179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trac.com/redirect/team/55/cap/2022" TargetMode="External"/><Relationship Id="rId299" Type="http://schemas.openxmlformats.org/officeDocument/2006/relationships/hyperlink" Target="https://www.spotrac.com/redirect/team/43/cap/2016" TargetMode="External"/><Relationship Id="rId21" Type="http://schemas.openxmlformats.org/officeDocument/2006/relationships/hyperlink" Target="https://www.spotrac.com/redirect/team/32/cap/2025" TargetMode="External"/><Relationship Id="rId63" Type="http://schemas.openxmlformats.org/officeDocument/2006/relationships/hyperlink" Target="https://www.spotrac.com/redirect/team/36/cap/2023" TargetMode="External"/><Relationship Id="rId159" Type="http://schemas.openxmlformats.org/officeDocument/2006/relationships/hyperlink" Target="https://www.spotrac.com/redirect/team/56/cap/2020" TargetMode="External"/><Relationship Id="rId324" Type="http://schemas.openxmlformats.org/officeDocument/2006/relationships/hyperlink" Target="https://www.spotrac.com/redirect/team/46/cap/2015" TargetMode="External"/><Relationship Id="rId366" Type="http://schemas.openxmlformats.org/officeDocument/2006/relationships/hyperlink" Target="https://www.spotrac.com/redirect/team/61/cap/2013" TargetMode="External"/><Relationship Id="rId170" Type="http://schemas.openxmlformats.org/officeDocument/2006/relationships/hyperlink" Target="https://www.spotrac.com/redirect/team/45/cap/2020" TargetMode="External"/><Relationship Id="rId226" Type="http://schemas.openxmlformats.org/officeDocument/2006/relationships/hyperlink" Target="https://www.spotrac.com/redirect/team/54/cap/2018" TargetMode="External"/><Relationship Id="rId433" Type="http://schemas.openxmlformats.org/officeDocument/2006/relationships/hyperlink" Target="https://www.spotrac.com/redirect/team/46/cap/2011" TargetMode="External"/><Relationship Id="rId268" Type="http://schemas.openxmlformats.org/officeDocument/2006/relationships/hyperlink" Target="https://www.spotrac.com/redirect/team/43/cap/2017" TargetMode="External"/><Relationship Id="rId475" Type="http://schemas.openxmlformats.org/officeDocument/2006/relationships/hyperlink" Target="https://www.spotrac.com/redirect/team/61/cap/2025" TargetMode="External"/><Relationship Id="rId32" Type="http://schemas.openxmlformats.org/officeDocument/2006/relationships/hyperlink" Target="https://www.spotrac.com/redirect/team/49/cap/2024" TargetMode="External"/><Relationship Id="rId74" Type="http://schemas.openxmlformats.org/officeDocument/2006/relationships/hyperlink" Target="https://www.spotrac.com/redirect/team/37/cap/2023" TargetMode="External"/><Relationship Id="rId128" Type="http://schemas.openxmlformats.org/officeDocument/2006/relationships/hyperlink" Target="https://www.spotrac.com/redirect/team/123/cap/2021" TargetMode="External"/><Relationship Id="rId335" Type="http://schemas.openxmlformats.org/officeDocument/2006/relationships/hyperlink" Target="https://www.spotrac.com/redirect/team/49/cap/2014" TargetMode="External"/><Relationship Id="rId377" Type="http://schemas.openxmlformats.org/officeDocument/2006/relationships/hyperlink" Target="https://www.spotrac.com/redirect/team/57/cap/2013" TargetMode="External"/><Relationship Id="rId5" Type="http://schemas.openxmlformats.org/officeDocument/2006/relationships/hyperlink" Target="https://www.spotrac.com/redirect/team/51/cap/2025" TargetMode="External"/><Relationship Id="rId181" Type="http://schemas.openxmlformats.org/officeDocument/2006/relationships/hyperlink" Target="https://www.spotrac.com/redirect/team/51/cap/2019" TargetMode="External"/><Relationship Id="rId237" Type="http://schemas.openxmlformats.org/officeDocument/2006/relationships/hyperlink" Target="https://www.spotrac.com/redirect/team/41/cap/2018" TargetMode="External"/><Relationship Id="rId402" Type="http://schemas.openxmlformats.org/officeDocument/2006/relationships/hyperlink" Target="https://www.spotrac.com/redirect/team/41/cap/2012" TargetMode="External"/><Relationship Id="rId279" Type="http://schemas.openxmlformats.org/officeDocument/2006/relationships/hyperlink" Target="https://www.spotrac.com/redirect/team/36/cap/2016" TargetMode="External"/><Relationship Id="rId444" Type="http://schemas.openxmlformats.org/officeDocument/2006/relationships/hyperlink" Target="https://www.spotrac.com/redirect/team/57/cap/2011" TargetMode="External"/><Relationship Id="rId43" Type="http://schemas.openxmlformats.org/officeDocument/2006/relationships/hyperlink" Target="https://www.spotrac.com/redirect/team/61/cap/2024" TargetMode="External"/><Relationship Id="rId139" Type="http://schemas.openxmlformats.org/officeDocument/2006/relationships/hyperlink" Target="https://www.spotrac.com/redirect/team/57/cap/2021" TargetMode="External"/><Relationship Id="rId290" Type="http://schemas.openxmlformats.org/officeDocument/2006/relationships/hyperlink" Target="https://www.spotrac.com/redirect/team/41/cap/2016" TargetMode="External"/><Relationship Id="rId304" Type="http://schemas.openxmlformats.org/officeDocument/2006/relationships/hyperlink" Target="https://www.spotrac.com/redirect/team/61/cap/2015" TargetMode="External"/><Relationship Id="rId346" Type="http://schemas.openxmlformats.org/officeDocument/2006/relationships/hyperlink" Target="https://www.spotrac.com/redirect/team/58/cap/2014" TargetMode="External"/><Relationship Id="rId388" Type="http://schemas.openxmlformats.org/officeDocument/2006/relationships/hyperlink" Target="https://www.spotrac.com/redirect/team/51/cap/2013" TargetMode="External"/><Relationship Id="rId85" Type="http://schemas.openxmlformats.org/officeDocument/2006/relationships/hyperlink" Target="https://www.spotrac.com/redirect/team/35/cap/2023" TargetMode="External"/><Relationship Id="rId150" Type="http://schemas.openxmlformats.org/officeDocument/2006/relationships/hyperlink" Target="https://www.spotrac.com/redirect/team/32/cap/2021" TargetMode="External"/><Relationship Id="rId192" Type="http://schemas.openxmlformats.org/officeDocument/2006/relationships/hyperlink" Target="https://www.spotrac.com/redirect/team/54/cap/2019" TargetMode="External"/><Relationship Id="rId206" Type="http://schemas.openxmlformats.org/officeDocument/2006/relationships/hyperlink" Target="https://www.spotrac.com/redirect/team/57/cap/2019" TargetMode="External"/><Relationship Id="rId413" Type="http://schemas.openxmlformats.org/officeDocument/2006/relationships/hyperlink" Target="https://www.spotrac.com/redirect/team/44/cap/2012" TargetMode="External"/><Relationship Id="rId248" Type="http://schemas.openxmlformats.org/officeDocument/2006/relationships/hyperlink" Target="https://www.spotrac.com/redirect/team/53/cap/2017" TargetMode="External"/><Relationship Id="rId455" Type="http://schemas.openxmlformats.org/officeDocument/2006/relationships/hyperlink" Target="https://www.spotrac.com/redirect/team/33/cap/2025" TargetMode="External"/><Relationship Id="rId12" Type="http://schemas.openxmlformats.org/officeDocument/2006/relationships/hyperlink" Target="https://www.spotrac.com/redirect/team/44/cap/2025" TargetMode="External"/><Relationship Id="rId108" Type="http://schemas.openxmlformats.org/officeDocument/2006/relationships/hyperlink" Target="https://www.spotrac.com/redirect/team/41/cap/2022" TargetMode="External"/><Relationship Id="rId315" Type="http://schemas.openxmlformats.org/officeDocument/2006/relationships/hyperlink" Target="https://www.spotrac.com/redirect/team/44/cap/2015" TargetMode="External"/><Relationship Id="rId357" Type="http://schemas.openxmlformats.org/officeDocument/2006/relationships/hyperlink" Target="https://www.spotrac.com/redirect/team/37/cap/2014" TargetMode="External"/><Relationship Id="rId54" Type="http://schemas.openxmlformats.org/officeDocument/2006/relationships/hyperlink" Target="https://www.spotrac.com/redirect/team/55/cap/2024" TargetMode="External"/><Relationship Id="rId96" Type="http://schemas.openxmlformats.org/officeDocument/2006/relationships/hyperlink" Target="https://www.spotrac.com/redirect/team/37/cap/2022" TargetMode="External"/><Relationship Id="rId161" Type="http://schemas.openxmlformats.org/officeDocument/2006/relationships/hyperlink" Target="https://www.spotrac.com/redirect/team/41/cap/2020" TargetMode="External"/><Relationship Id="rId217" Type="http://schemas.openxmlformats.org/officeDocument/2006/relationships/hyperlink" Target="https://www.spotrac.com/redirect/team/58/cap/2018" TargetMode="External"/><Relationship Id="rId399" Type="http://schemas.openxmlformats.org/officeDocument/2006/relationships/hyperlink" Target="https://www.spotrac.com/redirect/team/59/cap/2012" TargetMode="External"/><Relationship Id="rId259" Type="http://schemas.openxmlformats.org/officeDocument/2006/relationships/hyperlink" Target="https://www.spotrac.com/redirect/team/57/cap/2017" TargetMode="External"/><Relationship Id="rId424" Type="http://schemas.openxmlformats.org/officeDocument/2006/relationships/hyperlink" Target="https://www.spotrac.com/redirect/team/42/cap/2011" TargetMode="External"/><Relationship Id="rId466" Type="http://schemas.openxmlformats.org/officeDocument/2006/relationships/hyperlink" Target="https://www.spotrac.com/redirect/team/59/cap/2025" TargetMode="External"/><Relationship Id="rId23" Type="http://schemas.openxmlformats.org/officeDocument/2006/relationships/hyperlink" Target="https://www.spotrac.com/redirect/team/55/cap/2025" TargetMode="External"/><Relationship Id="rId119" Type="http://schemas.openxmlformats.org/officeDocument/2006/relationships/hyperlink" Target="https://www.spotrac.com/redirect/team/52/cap/2022" TargetMode="External"/><Relationship Id="rId270" Type="http://schemas.openxmlformats.org/officeDocument/2006/relationships/hyperlink" Target="https://www.spotrac.com/redirect/team/123/cap/2017" TargetMode="External"/><Relationship Id="rId326" Type="http://schemas.openxmlformats.org/officeDocument/2006/relationships/hyperlink" Target="https://www.spotrac.com/redirect/team/35/cap/2015" TargetMode="External"/><Relationship Id="rId65" Type="http://schemas.openxmlformats.org/officeDocument/2006/relationships/hyperlink" Target="https://www.spotrac.com/redirect/team/123/cap/2023" TargetMode="External"/><Relationship Id="rId130" Type="http://schemas.openxmlformats.org/officeDocument/2006/relationships/hyperlink" Target="https://www.spotrac.com/redirect/team/56/cap/2021" TargetMode="External"/><Relationship Id="rId368" Type="http://schemas.openxmlformats.org/officeDocument/2006/relationships/hyperlink" Target="https://www.spotrac.com/redirect/team/36/cap/2013" TargetMode="External"/><Relationship Id="rId172" Type="http://schemas.openxmlformats.org/officeDocument/2006/relationships/hyperlink" Target="https://www.spotrac.com/redirect/team/54/cap/2020" TargetMode="External"/><Relationship Id="rId228" Type="http://schemas.openxmlformats.org/officeDocument/2006/relationships/hyperlink" Target="https://www.spotrac.com/redirect/team/48/cap/2018" TargetMode="External"/><Relationship Id="rId435" Type="http://schemas.openxmlformats.org/officeDocument/2006/relationships/hyperlink" Target="https://www.spotrac.com/redirect/team/54/cap/2011" TargetMode="External"/><Relationship Id="rId477" Type="http://schemas.openxmlformats.org/officeDocument/2006/relationships/hyperlink" Target="https://www.spotrac.com/redirect/team/35/cap/2024" TargetMode="External"/><Relationship Id="rId281" Type="http://schemas.openxmlformats.org/officeDocument/2006/relationships/hyperlink" Target="https://www.spotrac.com/redirect/team/44/cap/2016" TargetMode="External"/><Relationship Id="rId337" Type="http://schemas.openxmlformats.org/officeDocument/2006/relationships/hyperlink" Target="https://www.spotrac.com/redirect/team/42/cap/2014" TargetMode="External"/><Relationship Id="rId34" Type="http://schemas.openxmlformats.org/officeDocument/2006/relationships/hyperlink" Target="https://www.spotrac.com/redirect/team/48/cap/2024" TargetMode="External"/><Relationship Id="rId76" Type="http://schemas.openxmlformats.org/officeDocument/2006/relationships/hyperlink" Target="https://www.spotrac.com/redirect/team/39/cap/2023" TargetMode="External"/><Relationship Id="rId141" Type="http://schemas.openxmlformats.org/officeDocument/2006/relationships/hyperlink" Target="https://www.spotrac.com/redirect/team/43/cap/2021" TargetMode="External"/><Relationship Id="rId379" Type="http://schemas.openxmlformats.org/officeDocument/2006/relationships/hyperlink" Target="https://www.spotrac.com/redirect/team/58/cap/2013" TargetMode="External"/><Relationship Id="rId7" Type="http://schemas.openxmlformats.org/officeDocument/2006/relationships/hyperlink" Target="https://www.spotrac.com/redirect/team/36/cap/2025" TargetMode="External"/><Relationship Id="rId183" Type="http://schemas.openxmlformats.org/officeDocument/2006/relationships/hyperlink" Target="https://www.spotrac.com/redirect/team/33/cap/2019" TargetMode="External"/><Relationship Id="rId239" Type="http://schemas.openxmlformats.org/officeDocument/2006/relationships/hyperlink" Target="https://www.spotrac.com/redirect/team/129/cap/2018" TargetMode="External"/><Relationship Id="rId390" Type="http://schemas.openxmlformats.org/officeDocument/2006/relationships/hyperlink" Target="https://www.spotrac.com/redirect/team/53/cap/2013" TargetMode="External"/><Relationship Id="rId404" Type="http://schemas.openxmlformats.org/officeDocument/2006/relationships/hyperlink" Target="https://www.spotrac.com/redirect/team/50/cap/2012" TargetMode="External"/><Relationship Id="rId446" Type="http://schemas.openxmlformats.org/officeDocument/2006/relationships/hyperlink" Target="https://www.spotrac.com/redirect/team/38/cap/2011" TargetMode="External"/><Relationship Id="rId250" Type="http://schemas.openxmlformats.org/officeDocument/2006/relationships/hyperlink" Target="https://www.spotrac.com/redirect/team/45/cap/2017" TargetMode="External"/><Relationship Id="rId292" Type="http://schemas.openxmlformats.org/officeDocument/2006/relationships/hyperlink" Target="https://www.spotrac.com/redirect/team/38/cap/2016" TargetMode="External"/><Relationship Id="rId306" Type="http://schemas.openxmlformats.org/officeDocument/2006/relationships/hyperlink" Target="https://www.spotrac.com/redirect/team/45/cap/2015" TargetMode="External"/><Relationship Id="rId45" Type="http://schemas.openxmlformats.org/officeDocument/2006/relationships/hyperlink" Target="https://www.spotrac.com/redirect/team/44/cap/2024" TargetMode="External"/><Relationship Id="rId87" Type="http://schemas.openxmlformats.org/officeDocument/2006/relationships/hyperlink" Target="https://www.spotrac.com/redirect/team/52/cap/2023" TargetMode="External"/><Relationship Id="rId110" Type="http://schemas.openxmlformats.org/officeDocument/2006/relationships/hyperlink" Target="https://www.spotrac.com/redirect/team/40/cap/2022" TargetMode="External"/><Relationship Id="rId348" Type="http://schemas.openxmlformats.org/officeDocument/2006/relationships/hyperlink" Target="https://www.spotrac.com/redirect/team/40/cap/2014" TargetMode="External"/><Relationship Id="rId152" Type="http://schemas.openxmlformats.org/officeDocument/2006/relationships/hyperlink" Target="https://www.spotrac.com/redirect/team/34/cap/2020" TargetMode="External"/><Relationship Id="rId194" Type="http://schemas.openxmlformats.org/officeDocument/2006/relationships/hyperlink" Target="https://www.spotrac.com/redirect/team/41/cap/2019" TargetMode="External"/><Relationship Id="rId208" Type="http://schemas.openxmlformats.org/officeDocument/2006/relationships/hyperlink" Target="https://www.spotrac.com/redirect/team/32/cap/2019" TargetMode="External"/><Relationship Id="rId415" Type="http://schemas.openxmlformats.org/officeDocument/2006/relationships/hyperlink" Target="https://www.spotrac.com/redirect/team/35/cap/2012" TargetMode="External"/><Relationship Id="rId457" Type="http://schemas.openxmlformats.org/officeDocument/2006/relationships/hyperlink" Target="https://www.spotrac.com/redirect/team/37/cap/2025" TargetMode="External"/><Relationship Id="rId261" Type="http://schemas.openxmlformats.org/officeDocument/2006/relationships/hyperlink" Target="https://www.spotrac.com/redirect/team/129/cap/2017" TargetMode="External"/><Relationship Id="rId14" Type="http://schemas.openxmlformats.org/officeDocument/2006/relationships/hyperlink" Target="https://www.spotrac.com/redirect/team/39/cap/2025" TargetMode="External"/><Relationship Id="rId56" Type="http://schemas.openxmlformats.org/officeDocument/2006/relationships/hyperlink" Target="https://www.spotrac.com/redirect/team/42/cap/2024" TargetMode="External"/><Relationship Id="rId317" Type="http://schemas.openxmlformats.org/officeDocument/2006/relationships/hyperlink" Target="https://www.spotrac.com/redirect/team/37/cap/2015" TargetMode="External"/><Relationship Id="rId359" Type="http://schemas.openxmlformats.org/officeDocument/2006/relationships/hyperlink" Target="https://www.spotrac.com/redirect/team/53/cap/2014" TargetMode="External"/><Relationship Id="rId98" Type="http://schemas.openxmlformats.org/officeDocument/2006/relationships/hyperlink" Target="https://www.spotrac.com/redirect/team/46/cap/2022" TargetMode="External"/><Relationship Id="rId121" Type="http://schemas.openxmlformats.org/officeDocument/2006/relationships/hyperlink" Target="https://www.spotrac.com/redirect/team/48/cap/2021" TargetMode="External"/><Relationship Id="rId163" Type="http://schemas.openxmlformats.org/officeDocument/2006/relationships/hyperlink" Target="https://www.spotrac.com/redirect/team/50/cap/2020" TargetMode="External"/><Relationship Id="rId219" Type="http://schemas.openxmlformats.org/officeDocument/2006/relationships/hyperlink" Target="https://www.spotrac.com/redirect/team/38/cap/2018" TargetMode="External"/><Relationship Id="rId370" Type="http://schemas.openxmlformats.org/officeDocument/2006/relationships/hyperlink" Target="https://www.spotrac.com/redirect/team/56/cap/2013" TargetMode="External"/><Relationship Id="rId426" Type="http://schemas.openxmlformats.org/officeDocument/2006/relationships/hyperlink" Target="https://www.spotrac.com/redirect/team/51/cap/2011" TargetMode="External"/><Relationship Id="rId230" Type="http://schemas.openxmlformats.org/officeDocument/2006/relationships/hyperlink" Target="https://www.spotrac.com/redirect/team/36/cap/2018" TargetMode="External"/><Relationship Id="rId468" Type="http://schemas.openxmlformats.org/officeDocument/2006/relationships/hyperlink" Target="https://www.spotrac.com/redirect/team/41/cap/2025" TargetMode="External"/><Relationship Id="rId25" Type="http://schemas.openxmlformats.org/officeDocument/2006/relationships/hyperlink" Target="https://www.spotrac.com/redirect/team/1043/cap/2025" TargetMode="External"/><Relationship Id="rId67" Type="http://schemas.openxmlformats.org/officeDocument/2006/relationships/hyperlink" Target="https://www.spotrac.com/redirect/team/45/cap/2023" TargetMode="External"/><Relationship Id="rId272" Type="http://schemas.openxmlformats.org/officeDocument/2006/relationships/hyperlink" Target="https://www.spotrac.com/redirect/team/61/cap/2016" TargetMode="External"/><Relationship Id="rId328" Type="http://schemas.openxmlformats.org/officeDocument/2006/relationships/hyperlink" Target="https://www.spotrac.com/redirect/team/57/cap/2015" TargetMode="External"/><Relationship Id="rId132" Type="http://schemas.openxmlformats.org/officeDocument/2006/relationships/hyperlink" Target="https://www.spotrac.com/redirect/team/36/cap/2021" TargetMode="External"/><Relationship Id="rId174" Type="http://schemas.openxmlformats.org/officeDocument/2006/relationships/hyperlink" Target="https://www.spotrac.com/redirect/team/40/cap/2020" TargetMode="External"/><Relationship Id="rId381" Type="http://schemas.openxmlformats.org/officeDocument/2006/relationships/hyperlink" Target="https://www.spotrac.com/redirect/team/54/cap/2013" TargetMode="External"/><Relationship Id="rId241" Type="http://schemas.openxmlformats.org/officeDocument/2006/relationships/hyperlink" Target="https://www.spotrac.com/redirect/team/59/cap/2017" TargetMode="External"/><Relationship Id="rId437" Type="http://schemas.openxmlformats.org/officeDocument/2006/relationships/hyperlink" Target="https://www.spotrac.com/redirect/team/44/cap/2011" TargetMode="External"/><Relationship Id="rId479" Type="http://schemas.openxmlformats.org/officeDocument/2006/relationships/hyperlink" Target="https://www.spotrac.com/redirect/team/36/cap/2024" TargetMode="External"/><Relationship Id="rId36" Type="http://schemas.openxmlformats.org/officeDocument/2006/relationships/hyperlink" Target="https://www.spotrac.com/redirect/team/53/cap/2024" TargetMode="External"/><Relationship Id="rId283" Type="http://schemas.openxmlformats.org/officeDocument/2006/relationships/hyperlink" Target="https://www.spotrac.com/redirect/team/40/cap/2016" TargetMode="External"/><Relationship Id="rId339" Type="http://schemas.openxmlformats.org/officeDocument/2006/relationships/hyperlink" Target="https://www.spotrac.com/redirect/team/36/cap/2014" TargetMode="External"/><Relationship Id="rId78" Type="http://schemas.openxmlformats.org/officeDocument/2006/relationships/hyperlink" Target="https://www.spotrac.com/redirect/team/58/cap/2023" TargetMode="External"/><Relationship Id="rId101" Type="http://schemas.openxmlformats.org/officeDocument/2006/relationships/hyperlink" Target="https://www.spotrac.com/redirect/team/42/cap/2022" TargetMode="External"/><Relationship Id="rId143" Type="http://schemas.openxmlformats.org/officeDocument/2006/relationships/hyperlink" Target="https://www.spotrac.com/redirect/team/35/cap/2021" TargetMode="External"/><Relationship Id="rId185" Type="http://schemas.openxmlformats.org/officeDocument/2006/relationships/hyperlink" Target="https://www.spotrac.com/redirect/team/50/cap/2019" TargetMode="External"/><Relationship Id="rId350" Type="http://schemas.openxmlformats.org/officeDocument/2006/relationships/hyperlink" Target="https://www.spotrac.com/redirect/team/41/cap/2014" TargetMode="External"/><Relationship Id="rId406" Type="http://schemas.openxmlformats.org/officeDocument/2006/relationships/hyperlink" Target="https://www.spotrac.com/redirect/team/52/cap/2012" TargetMode="External"/><Relationship Id="rId9" Type="http://schemas.openxmlformats.org/officeDocument/2006/relationships/hyperlink" Target="https://www.spotrac.com/redirect/team/61/cap/2025" TargetMode="External"/><Relationship Id="rId210" Type="http://schemas.openxmlformats.org/officeDocument/2006/relationships/hyperlink" Target="https://www.spotrac.com/redirect/team/55/cap/2019" TargetMode="External"/><Relationship Id="rId392" Type="http://schemas.openxmlformats.org/officeDocument/2006/relationships/hyperlink" Target="https://www.spotrac.com/redirect/team/49/cap/2012" TargetMode="External"/><Relationship Id="rId448" Type="http://schemas.openxmlformats.org/officeDocument/2006/relationships/hyperlink" Target="https://www.spotrac.com/redirect/team/35/cap/2011" TargetMode="External"/><Relationship Id="rId252" Type="http://schemas.openxmlformats.org/officeDocument/2006/relationships/hyperlink" Target="https://www.spotrac.com/redirect/team/44/cap/2017" TargetMode="External"/><Relationship Id="rId294" Type="http://schemas.openxmlformats.org/officeDocument/2006/relationships/hyperlink" Target="https://www.spotrac.com/redirect/team/55/cap/2016" TargetMode="External"/><Relationship Id="rId308" Type="http://schemas.openxmlformats.org/officeDocument/2006/relationships/hyperlink" Target="https://www.spotrac.com/redirect/team/39/cap/2015" TargetMode="External"/><Relationship Id="rId47" Type="http://schemas.openxmlformats.org/officeDocument/2006/relationships/hyperlink" Target="https://www.spotrac.com/redirect/team/58/cap/2024" TargetMode="External"/><Relationship Id="rId89" Type="http://schemas.openxmlformats.org/officeDocument/2006/relationships/hyperlink" Target="https://www.spotrac.com/redirect/team/43/cap/2023" TargetMode="External"/><Relationship Id="rId112" Type="http://schemas.openxmlformats.org/officeDocument/2006/relationships/hyperlink" Target="https://www.spotrac.com/redirect/team/969/cap/2022" TargetMode="External"/><Relationship Id="rId154" Type="http://schemas.openxmlformats.org/officeDocument/2006/relationships/hyperlink" Target="https://www.spotrac.com/redirect/team/53/cap/2020" TargetMode="External"/><Relationship Id="rId361" Type="http://schemas.openxmlformats.org/officeDocument/2006/relationships/hyperlink" Target="https://www.spotrac.com/redirect/team/34/cap/2013" TargetMode="External"/><Relationship Id="rId196" Type="http://schemas.openxmlformats.org/officeDocument/2006/relationships/hyperlink" Target="https://www.spotrac.com/redirect/team/44/cap/2019" TargetMode="External"/><Relationship Id="rId417" Type="http://schemas.openxmlformats.org/officeDocument/2006/relationships/hyperlink" Target="https://www.spotrac.com/redirect/team/123/cap/2012" TargetMode="External"/><Relationship Id="rId459" Type="http://schemas.openxmlformats.org/officeDocument/2006/relationships/hyperlink" Target="https://www.spotrac.com/redirect/team/969/cap/2025" TargetMode="External"/><Relationship Id="rId16" Type="http://schemas.openxmlformats.org/officeDocument/2006/relationships/hyperlink" Target="https://www.spotrac.com/redirect/team/56/cap/2025" TargetMode="External"/><Relationship Id="rId221" Type="http://schemas.openxmlformats.org/officeDocument/2006/relationships/hyperlink" Target="https://www.spotrac.com/redirect/team/56/cap/2018" TargetMode="External"/><Relationship Id="rId263" Type="http://schemas.openxmlformats.org/officeDocument/2006/relationships/hyperlink" Target="https://www.spotrac.com/redirect/team/52/cap/2017" TargetMode="External"/><Relationship Id="rId319" Type="http://schemas.openxmlformats.org/officeDocument/2006/relationships/hyperlink" Target="https://www.spotrac.com/redirect/team/55/cap/2015" TargetMode="External"/><Relationship Id="rId470" Type="http://schemas.openxmlformats.org/officeDocument/2006/relationships/hyperlink" Target="https://www.spotrac.com/redirect/team/34/cap/2022" TargetMode="External"/><Relationship Id="rId58" Type="http://schemas.openxmlformats.org/officeDocument/2006/relationships/hyperlink" Target="https://www.spotrac.com/redirect/team/39/cap/2024" TargetMode="External"/><Relationship Id="rId123" Type="http://schemas.openxmlformats.org/officeDocument/2006/relationships/hyperlink" Target="https://www.spotrac.com/redirect/team/53/cap/2021" TargetMode="External"/><Relationship Id="rId330" Type="http://schemas.openxmlformats.org/officeDocument/2006/relationships/hyperlink" Target="https://www.spotrac.com/redirect/team/129/cap/2015" TargetMode="External"/><Relationship Id="rId165" Type="http://schemas.openxmlformats.org/officeDocument/2006/relationships/hyperlink" Target="https://www.spotrac.com/redirect/team/61/cap/2020" TargetMode="External"/><Relationship Id="rId372" Type="http://schemas.openxmlformats.org/officeDocument/2006/relationships/hyperlink" Target="https://www.spotrac.com/redirect/team/32/cap/2013" TargetMode="External"/><Relationship Id="rId428" Type="http://schemas.openxmlformats.org/officeDocument/2006/relationships/hyperlink" Target="https://www.spotrac.com/redirect/team/37/cap/2011" TargetMode="External"/><Relationship Id="rId232" Type="http://schemas.openxmlformats.org/officeDocument/2006/relationships/hyperlink" Target="https://www.spotrac.com/redirect/team/32/cap/2018" TargetMode="External"/><Relationship Id="rId274" Type="http://schemas.openxmlformats.org/officeDocument/2006/relationships/hyperlink" Target="https://www.spotrac.com/redirect/team/33/cap/2016" TargetMode="External"/><Relationship Id="rId27" Type="http://schemas.openxmlformats.org/officeDocument/2006/relationships/hyperlink" Target="https://www.spotrac.com/redirect/team/35/cap/2025" TargetMode="External"/><Relationship Id="rId69" Type="http://schemas.openxmlformats.org/officeDocument/2006/relationships/hyperlink" Target="https://www.spotrac.com/redirect/team/51/cap/2023" TargetMode="External"/><Relationship Id="rId134" Type="http://schemas.openxmlformats.org/officeDocument/2006/relationships/hyperlink" Target="https://www.spotrac.com/redirect/team/41/cap/2021" TargetMode="External"/><Relationship Id="rId80" Type="http://schemas.openxmlformats.org/officeDocument/2006/relationships/hyperlink" Target="https://www.spotrac.com/redirect/team/129/cap/2023" TargetMode="External"/><Relationship Id="rId176" Type="http://schemas.openxmlformats.org/officeDocument/2006/relationships/hyperlink" Target="https://www.spotrac.com/redirect/team/35/cap/2020" TargetMode="External"/><Relationship Id="rId341" Type="http://schemas.openxmlformats.org/officeDocument/2006/relationships/hyperlink" Target="https://www.spotrac.com/redirect/team/32/cap/2014" TargetMode="External"/><Relationship Id="rId383" Type="http://schemas.openxmlformats.org/officeDocument/2006/relationships/hyperlink" Target="https://www.spotrac.com/redirect/team/55/cap/2013" TargetMode="External"/><Relationship Id="rId439" Type="http://schemas.openxmlformats.org/officeDocument/2006/relationships/hyperlink" Target="https://www.spotrac.com/redirect/team/58/cap/2011" TargetMode="External"/><Relationship Id="rId201" Type="http://schemas.openxmlformats.org/officeDocument/2006/relationships/hyperlink" Target="https://www.spotrac.com/redirect/team/39/cap/2019" TargetMode="External"/><Relationship Id="rId243" Type="http://schemas.openxmlformats.org/officeDocument/2006/relationships/hyperlink" Target="https://www.spotrac.com/redirect/team/61/cap/2017" TargetMode="External"/><Relationship Id="rId285" Type="http://schemas.openxmlformats.org/officeDocument/2006/relationships/hyperlink" Target="https://www.spotrac.com/redirect/team/42/cap/2016" TargetMode="External"/><Relationship Id="rId450" Type="http://schemas.openxmlformats.org/officeDocument/2006/relationships/hyperlink" Target="https://www.spotrac.com/redirect/team/40/cap/2011" TargetMode="External"/><Relationship Id="rId38" Type="http://schemas.openxmlformats.org/officeDocument/2006/relationships/hyperlink" Target="https://www.spotrac.com/redirect/team/45/cap/2024" TargetMode="External"/><Relationship Id="rId103" Type="http://schemas.openxmlformats.org/officeDocument/2006/relationships/hyperlink" Target="https://www.spotrac.com/redirect/team/39/cap/2022" TargetMode="External"/><Relationship Id="rId310" Type="http://schemas.openxmlformats.org/officeDocument/2006/relationships/hyperlink" Target="https://www.spotrac.com/redirect/team/51/cap/2015" TargetMode="External"/><Relationship Id="rId91" Type="http://schemas.openxmlformats.org/officeDocument/2006/relationships/hyperlink" Target="https://www.spotrac.com/redirect/team/48/cap/2022" TargetMode="External"/><Relationship Id="rId145" Type="http://schemas.openxmlformats.org/officeDocument/2006/relationships/hyperlink" Target="https://www.spotrac.com/redirect/team/42/cap/2021" TargetMode="External"/><Relationship Id="rId187" Type="http://schemas.openxmlformats.org/officeDocument/2006/relationships/hyperlink" Target="https://www.spotrac.com/redirect/team/61/cap/2019" TargetMode="External"/><Relationship Id="rId352" Type="http://schemas.openxmlformats.org/officeDocument/2006/relationships/hyperlink" Target="https://www.spotrac.com/redirect/team/55/cap/2014" TargetMode="External"/><Relationship Id="rId394" Type="http://schemas.openxmlformats.org/officeDocument/2006/relationships/hyperlink" Target="https://www.spotrac.com/redirect/team/42/cap/2012" TargetMode="External"/><Relationship Id="rId408" Type="http://schemas.openxmlformats.org/officeDocument/2006/relationships/hyperlink" Target="https://www.spotrac.com/redirect/team/51/cap/2012" TargetMode="External"/><Relationship Id="rId212" Type="http://schemas.openxmlformats.org/officeDocument/2006/relationships/hyperlink" Target="https://www.spotrac.com/redirect/team/59/cap/2018" TargetMode="External"/><Relationship Id="rId254" Type="http://schemas.openxmlformats.org/officeDocument/2006/relationships/hyperlink" Target="https://www.spotrac.com/redirect/team/42/cap/2017" TargetMode="External"/><Relationship Id="rId49" Type="http://schemas.openxmlformats.org/officeDocument/2006/relationships/hyperlink" Target="https://www.spotrac.com/redirect/team/37/cap/2024" TargetMode="External"/><Relationship Id="rId114" Type="http://schemas.openxmlformats.org/officeDocument/2006/relationships/hyperlink" Target="https://www.spotrac.com/redirect/team/57/cap/2022" TargetMode="External"/><Relationship Id="rId296" Type="http://schemas.openxmlformats.org/officeDocument/2006/relationships/hyperlink" Target="https://www.spotrac.com/redirect/team/54/cap/2016" TargetMode="External"/><Relationship Id="rId461" Type="http://schemas.openxmlformats.org/officeDocument/2006/relationships/hyperlink" Target="https://www.spotrac.com/redirect/team/39/cap/2025" TargetMode="External"/><Relationship Id="rId60" Type="http://schemas.openxmlformats.org/officeDocument/2006/relationships/hyperlink" Target="https://www.spotrac.com/redirect/team/129/cap/2024" TargetMode="External"/><Relationship Id="rId156" Type="http://schemas.openxmlformats.org/officeDocument/2006/relationships/hyperlink" Target="https://www.spotrac.com/redirect/team/42/cap/2020" TargetMode="External"/><Relationship Id="rId198" Type="http://schemas.openxmlformats.org/officeDocument/2006/relationships/hyperlink" Target="https://www.spotrac.com/redirect/team/38/cap/2019" TargetMode="External"/><Relationship Id="rId321" Type="http://schemas.openxmlformats.org/officeDocument/2006/relationships/hyperlink" Target="https://www.spotrac.com/redirect/team/52/cap/2015" TargetMode="External"/><Relationship Id="rId363" Type="http://schemas.openxmlformats.org/officeDocument/2006/relationships/hyperlink" Target="https://www.spotrac.com/redirect/team/33/cap/2013" TargetMode="External"/><Relationship Id="rId419" Type="http://schemas.openxmlformats.org/officeDocument/2006/relationships/hyperlink" Target="https://www.spotrac.com/redirect/team/43/cap/2012" TargetMode="External"/><Relationship Id="rId223" Type="http://schemas.openxmlformats.org/officeDocument/2006/relationships/hyperlink" Target="https://www.spotrac.com/redirect/team/49/cap/2018" TargetMode="External"/><Relationship Id="rId430" Type="http://schemas.openxmlformats.org/officeDocument/2006/relationships/hyperlink" Target="https://www.spotrac.com/redirect/team/41/cap/2011" TargetMode="External"/><Relationship Id="rId18" Type="http://schemas.openxmlformats.org/officeDocument/2006/relationships/hyperlink" Target="https://www.spotrac.com/redirect/team/40/cap/2025" TargetMode="External"/><Relationship Id="rId265" Type="http://schemas.openxmlformats.org/officeDocument/2006/relationships/hyperlink" Target="https://www.spotrac.com/redirect/team/54/cap/2017" TargetMode="External"/><Relationship Id="rId472" Type="http://schemas.openxmlformats.org/officeDocument/2006/relationships/hyperlink" Target="https://www.spotrac.com/redirect/team/55/cap/2025" TargetMode="External"/><Relationship Id="rId125" Type="http://schemas.openxmlformats.org/officeDocument/2006/relationships/hyperlink" Target="https://www.spotrac.com/redirect/team/33/cap/2021" TargetMode="External"/><Relationship Id="rId167" Type="http://schemas.openxmlformats.org/officeDocument/2006/relationships/hyperlink" Target="https://www.spotrac.com/redirect/team/43/cap/2020" TargetMode="External"/><Relationship Id="rId332" Type="http://schemas.openxmlformats.org/officeDocument/2006/relationships/hyperlink" Target="https://www.spotrac.com/redirect/team/34/cap/2014" TargetMode="External"/><Relationship Id="rId374" Type="http://schemas.openxmlformats.org/officeDocument/2006/relationships/hyperlink" Target="https://www.spotrac.com/redirect/team/46/cap/2013" TargetMode="External"/><Relationship Id="rId71" Type="http://schemas.openxmlformats.org/officeDocument/2006/relationships/hyperlink" Target="https://www.spotrac.com/redirect/team/33/cap/2023" TargetMode="External"/><Relationship Id="rId234" Type="http://schemas.openxmlformats.org/officeDocument/2006/relationships/hyperlink" Target="https://www.spotrac.com/redirect/team/39/cap/2018" TargetMode="External"/><Relationship Id="rId2" Type="http://schemas.openxmlformats.org/officeDocument/2006/relationships/hyperlink" Target="https://www.spotrac.com/redirect/team/48/cap/2025" TargetMode="External"/><Relationship Id="rId29" Type="http://schemas.openxmlformats.org/officeDocument/2006/relationships/hyperlink" Target="https://www.spotrac.com/redirect/team/50/cap/2025" TargetMode="External"/><Relationship Id="rId276" Type="http://schemas.openxmlformats.org/officeDocument/2006/relationships/hyperlink" Target="https://www.spotrac.com/redirect/team/34/cap/2016" TargetMode="External"/><Relationship Id="rId441" Type="http://schemas.openxmlformats.org/officeDocument/2006/relationships/hyperlink" Target="https://www.spotrac.com/redirect/team/50/cap/2011" TargetMode="External"/><Relationship Id="rId40" Type="http://schemas.openxmlformats.org/officeDocument/2006/relationships/hyperlink" Target="https://www.spotrac.com/redirect/team/57/cap/2024" TargetMode="External"/><Relationship Id="rId136" Type="http://schemas.openxmlformats.org/officeDocument/2006/relationships/hyperlink" Target="https://www.spotrac.com/redirect/team/58/cap/2021" TargetMode="External"/><Relationship Id="rId178" Type="http://schemas.openxmlformats.org/officeDocument/2006/relationships/hyperlink" Target="https://www.spotrac.com/redirect/team/129/cap/2020" TargetMode="External"/><Relationship Id="rId301" Type="http://schemas.openxmlformats.org/officeDocument/2006/relationships/hyperlink" Target="https://www.spotrac.com/redirect/team/59/cap/2015" TargetMode="External"/><Relationship Id="rId343" Type="http://schemas.openxmlformats.org/officeDocument/2006/relationships/hyperlink" Target="https://www.spotrac.com/redirect/team/46/cap/2014" TargetMode="External"/><Relationship Id="rId82" Type="http://schemas.openxmlformats.org/officeDocument/2006/relationships/hyperlink" Target="https://www.spotrac.com/redirect/team/969/cap/2023" TargetMode="External"/><Relationship Id="rId203" Type="http://schemas.openxmlformats.org/officeDocument/2006/relationships/hyperlink" Target="https://www.spotrac.com/redirect/team/37/cap/2019" TargetMode="External"/><Relationship Id="rId385" Type="http://schemas.openxmlformats.org/officeDocument/2006/relationships/hyperlink" Target="https://www.spotrac.com/redirect/team/123/cap/2013" TargetMode="External"/><Relationship Id="rId245" Type="http://schemas.openxmlformats.org/officeDocument/2006/relationships/hyperlink" Target="https://www.spotrac.com/redirect/team/50/cap/2017" TargetMode="External"/><Relationship Id="rId287" Type="http://schemas.openxmlformats.org/officeDocument/2006/relationships/hyperlink" Target="https://www.spotrac.com/redirect/team/58/cap/2016" TargetMode="External"/><Relationship Id="rId410" Type="http://schemas.openxmlformats.org/officeDocument/2006/relationships/hyperlink" Target="https://www.spotrac.com/redirect/team/32/cap/2012" TargetMode="External"/><Relationship Id="rId452" Type="http://schemas.openxmlformats.org/officeDocument/2006/relationships/hyperlink" Target="https://www.spotrac.com/redirect/team/1043/cap/2025" TargetMode="External"/><Relationship Id="rId105" Type="http://schemas.openxmlformats.org/officeDocument/2006/relationships/hyperlink" Target="https://www.spotrac.com/redirect/team/54/cap/2022" TargetMode="External"/><Relationship Id="rId147" Type="http://schemas.openxmlformats.org/officeDocument/2006/relationships/hyperlink" Target="https://www.spotrac.com/redirect/team/45/cap/2021" TargetMode="External"/><Relationship Id="rId312" Type="http://schemas.openxmlformats.org/officeDocument/2006/relationships/hyperlink" Target="https://www.spotrac.com/redirect/team/36/cap/2015" TargetMode="External"/><Relationship Id="rId354" Type="http://schemas.openxmlformats.org/officeDocument/2006/relationships/hyperlink" Target="https://www.spotrac.com/redirect/team/123/cap/2014" TargetMode="External"/><Relationship Id="rId51" Type="http://schemas.openxmlformats.org/officeDocument/2006/relationships/hyperlink" Target="https://www.spotrac.com/redirect/team/32/cap/2024" TargetMode="External"/><Relationship Id="rId72" Type="http://schemas.openxmlformats.org/officeDocument/2006/relationships/hyperlink" Target="https://www.spotrac.com/redirect/team/48/cap/2023" TargetMode="External"/><Relationship Id="rId93" Type="http://schemas.openxmlformats.org/officeDocument/2006/relationships/hyperlink" Target="https://www.spotrac.com/redirect/team/34/cap/2022" TargetMode="External"/><Relationship Id="rId189" Type="http://schemas.openxmlformats.org/officeDocument/2006/relationships/hyperlink" Target="https://www.spotrac.com/redirect/team/58/cap/2019" TargetMode="External"/><Relationship Id="rId375" Type="http://schemas.openxmlformats.org/officeDocument/2006/relationships/hyperlink" Target="https://www.spotrac.com/redirect/team/37/cap/2013" TargetMode="External"/><Relationship Id="rId396" Type="http://schemas.openxmlformats.org/officeDocument/2006/relationships/hyperlink" Target="https://www.spotrac.com/redirect/team/45/cap/2012" TargetMode="External"/><Relationship Id="rId3" Type="http://schemas.openxmlformats.org/officeDocument/2006/relationships/hyperlink" Target="https://www.spotrac.com/redirect/team/49/cap/2025" TargetMode="External"/><Relationship Id="rId214" Type="http://schemas.openxmlformats.org/officeDocument/2006/relationships/hyperlink" Target="https://www.spotrac.com/redirect/team/51/cap/2018" TargetMode="External"/><Relationship Id="rId235" Type="http://schemas.openxmlformats.org/officeDocument/2006/relationships/hyperlink" Target="https://www.spotrac.com/redirect/team/43/cap/2018" TargetMode="External"/><Relationship Id="rId256" Type="http://schemas.openxmlformats.org/officeDocument/2006/relationships/hyperlink" Target="https://www.spotrac.com/redirect/team/56/cap/2017" TargetMode="External"/><Relationship Id="rId277" Type="http://schemas.openxmlformats.org/officeDocument/2006/relationships/hyperlink" Target="https://www.spotrac.com/redirect/team/32/cap/2016" TargetMode="External"/><Relationship Id="rId298" Type="http://schemas.openxmlformats.org/officeDocument/2006/relationships/hyperlink" Target="https://www.spotrac.com/redirect/team/35/cap/2016" TargetMode="External"/><Relationship Id="rId400" Type="http://schemas.openxmlformats.org/officeDocument/2006/relationships/hyperlink" Target="https://www.spotrac.com/redirect/team/54/cap/2012" TargetMode="External"/><Relationship Id="rId421" Type="http://schemas.openxmlformats.org/officeDocument/2006/relationships/hyperlink" Target="https://www.spotrac.com/redirect/team/34/cap/2011" TargetMode="External"/><Relationship Id="rId442" Type="http://schemas.openxmlformats.org/officeDocument/2006/relationships/hyperlink" Target="https://www.spotrac.com/redirect/team/43/cap/2011" TargetMode="External"/><Relationship Id="rId463" Type="http://schemas.openxmlformats.org/officeDocument/2006/relationships/hyperlink" Target="https://www.spotrac.com/redirect/team/53/cap/2025" TargetMode="External"/><Relationship Id="rId116" Type="http://schemas.openxmlformats.org/officeDocument/2006/relationships/hyperlink" Target="https://www.spotrac.com/redirect/team/61/cap/2022" TargetMode="External"/><Relationship Id="rId137" Type="http://schemas.openxmlformats.org/officeDocument/2006/relationships/hyperlink" Target="https://www.spotrac.com/redirect/team/39/cap/2021" TargetMode="External"/><Relationship Id="rId158" Type="http://schemas.openxmlformats.org/officeDocument/2006/relationships/hyperlink" Target="https://www.spotrac.com/redirect/team/52/cap/2020" TargetMode="External"/><Relationship Id="rId302" Type="http://schemas.openxmlformats.org/officeDocument/2006/relationships/hyperlink" Target="https://www.spotrac.com/redirect/team/34/cap/2015" TargetMode="External"/><Relationship Id="rId323" Type="http://schemas.openxmlformats.org/officeDocument/2006/relationships/hyperlink" Target="https://www.spotrac.com/redirect/team/54/cap/2015" TargetMode="External"/><Relationship Id="rId344" Type="http://schemas.openxmlformats.org/officeDocument/2006/relationships/hyperlink" Target="https://www.spotrac.com/redirect/team/44/cap/2014" TargetMode="External"/><Relationship Id="rId20" Type="http://schemas.openxmlformats.org/officeDocument/2006/relationships/hyperlink" Target="https://www.spotrac.com/redirect/team/57/cap/2025" TargetMode="External"/><Relationship Id="rId41" Type="http://schemas.openxmlformats.org/officeDocument/2006/relationships/hyperlink" Target="https://www.spotrac.com/redirect/team/36/cap/2024" TargetMode="External"/><Relationship Id="rId62" Type="http://schemas.openxmlformats.org/officeDocument/2006/relationships/hyperlink" Target="https://www.spotrac.com/redirect/team/53/cap/2023" TargetMode="External"/><Relationship Id="rId83" Type="http://schemas.openxmlformats.org/officeDocument/2006/relationships/hyperlink" Target="https://www.spotrac.com/redirect/team/40/cap/2023" TargetMode="External"/><Relationship Id="rId179" Type="http://schemas.openxmlformats.org/officeDocument/2006/relationships/hyperlink" Target="https://www.spotrac.com/redirect/team/55/cap/2020" TargetMode="External"/><Relationship Id="rId365" Type="http://schemas.openxmlformats.org/officeDocument/2006/relationships/hyperlink" Target="https://www.spotrac.com/redirect/team/39/cap/2013" TargetMode="External"/><Relationship Id="rId386" Type="http://schemas.openxmlformats.org/officeDocument/2006/relationships/hyperlink" Target="https://www.spotrac.com/redirect/team/44/cap/2013" TargetMode="External"/><Relationship Id="rId190" Type="http://schemas.openxmlformats.org/officeDocument/2006/relationships/hyperlink" Target="https://www.spotrac.com/redirect/team/42/cap/2019" TargetMode="External"/><Relationship Id="rId204" Type="http://schemas.openxmlformats.org/officeDocument/2006/relationships/hyperlink" Target="https://www.spotrac.com/redirect/team/129/cap/2019" TargetMode="External"/><Relationship Id="rId225" Type="http://schemas.openxmlformats.org/officeDocument/2006/relationships/hyperlink" Target="https://www.spotrac.com/redirect/team/42/cap/2018" TargetMode="External"/><Relationship Id="rId246" Type="http://schemas.openxmlformats.org/officeDocument/2006/relationships/hyperlink" Target="https://www.spotrac.com/redirect/team/32/cap/2017" TargetMode="External"/><Relationship Id="rId267" Type="http://schemas.openxmlformats.org/officeDocument/2006/relationships/hyperlink" Target="https://www.spotrac.com/redirect/team/37/cap/2017" TargetMode="External"/><Relationship Id="rId288" Type="http://schemas.openxmlformats.org/officeDocument/2006/relationships/hyperlink" Target="https://www.spotrac.com/redirect/team/57/cap/2016" TargetMode="External"/><Relationship Id="rId411" Type="http://schemas.openxmlformats.org/officeDocument/2006/relationships/hyperlink" Target="https://www.spotrac.com/redirect/team/58/cap/2012" TargetMode="External"/><Relationship Id="rId432" Type="http://schemas.openxmlformats.org/officeDocument/2006/relationships/hyperlink" Target="https://www.spotrac.com/redirect/team/59/cap/2011" TargetMode="External"/><Relationship Id="rId453" Type="http://schemas.openxmlformats.org/officeDocument/2006/relationships/hyperlink" Target="https://www.spotrac.com/redirect/team/46/cap/2025" TargetMode="External"/><Relationship Id="rId474" Type="http://schemas.openxmlformats.org/officeDocument/2006/relationships/hyperlink" Target="https://www.spotrac.com/redirect/team/44/cap/2025" TargetMode="External"/><Relationship Id="rId106" Type="http://schemas.openxmlformats.org/officeDocument/2006/relationships/hyperlink" Target="https://www.spotrac.com/redirect/team/44/cap/2022" TargetMode="External"/><Relationship Id="rId127" Type="http://schemas.openxmlformats.org/officeDocument/2006/relationships/hyperlink" Target="https://www.spotrac.com/redirect/team/61/cap/2021" TargetMode="External"/><Relationship Id="rId313" Type="http://schemas.openxmlformats.org/officeDocument/2006/relationships/hyperlink" Target="https://www.spotrac.com/redirect/team/48/cap/2015" TargetMode="External"/><Relationship Id="rId10" Type="http://schemas.openxmlformats.org/officeDocument/2006/relationships/hyperlink" Target="https://www.spotrac.com/redirect/team/33/cap/2025" TargetMode="External"/><Relationship Id="rId31" Type="http://schemas.openxmlformats.org/officeDocument/2006/relationships/hyperlink" Target="https://www.spotrac.com/redirect/team/34/cap/2024" TargetMode="External"/><Relationship Id="rId52" Type="http://schemas.openxmlformats.org/officeDocument/2006/relationships/hyperlink" Target="https://www.spotrac.com/redirect/team/50/cap/2024" TargetMode="External"/><Relationship Id="rId73" Type="http://schemas.openxmlformats.org/officeDocument/2006/relationships/hyperlink" Target="https://www.spotrac.com/redirect/team/54/cap/2023" TargetMode="External"/><Relationship Id="rId94" Type="http://schemas.openxmlformats.org/officeDocument/2006/relationships/hyperlink" Target="https://www.spotrac.com/redirect/team/123/cap/2022" TargetMode="External"/><Relationship Id="rId148" Type="http://schemas.openxmlformats.org/officeDocument/2006/relationships/hyperlink" Target="https://www.spotrac.com/redirect/team/55/cap/2021" TargetMode="External"/><Relationship Id="rId169" Type="http://schemas.openxmlformats.org/officeDocument/2006/relationships/hyperlink" Target="https://www.spotrac.com/redirect/team/36/cap/2020" TargetMode="External"/><Relationship Id="rId334" Type="http://schemas.openxmlformats.org/officeDocument/2006/relationships/hyperlink" Target="https://www.spotrac.com/redirect/team/39/cap/2014" TargetMode="External"/><Relationship Id="rId355" Type="http://schemas.openxmlformats.org/officeDocument/2006/relationships/hyperlink" Target="https://www.spotrac.com/redirect/team/43/cap/2014" TargetMode="External"/><Relationship Id="rId376" Type="http://schemas.openxmlformats.org/officeDocument/2006/relationships/hyperlink" Target="https://www.spotrac.com/redirect/team/38/cap/2013" TargetMode="External"/><Relationship Id="rId397" Type="http://schemas.openxmlformats.org/officeDocument/2006/relationships/hyperlink" Target="https://www.spotrac.com/redirect/team/61/cap/2012" TargetMode="External"/><Relationship Id="rId4" Type="http://schemas.openxmlformats.org/officeDocument/2006/relationships/hyperlink" Target="https://www.spotrac.com/redirect/team/34/cap/2025" TargetMode="External"/><Relationship Id="rId180" Type="http://schemas.openxmlformats.org/officeDocument/2006/relationships/hyperlink" Target="https://www.spotrac.com/redirect/team/32/cap/2020" TargetMode="External"/><Relationship Id="rId215" Type="http://schemas.openxmlformats.org/officeDocument/2006/relationships/hyperlink" Target="https://www.spotrac.com/redirect/team/34/cap/2018" TargetMode="External"/><Relationship Id="rId236" Type="http://schemas.openxmlformats.org/officeDocument/2006/relationships/hyperlink" Target="https://www.spotrac.com/redirect/team/37/cap/2018" TargetMode="External"/><Relationship Id="rId257" Type="http://schemas.openxmlformats.org/officeDocument/2006/relationships/hyperlink" Target="https://www.spotrac.com/redirect/team/39/cap/2017" TargetMode="External"/><Relationship Id="rId278" Type="http://schemas.openxmlformats.org/officeDocument/2006/relationships/hyperlink" Target="https://www.spotrac.com/redirect/team/45/cap/2016" TargetMode="External"/><Relationship Id="rId401" Type="http://schemas.openxmlformats.org/officeDocument/2006/relationships/hyperlink" Target="https://www.spotrac.com/redirect/team/37/cap/2012" TargetMode="External"/><Relationship Id="rId422" Type="http://schemas.openxmlformats.org/officeDocument/2006/relationships/hyperlink" Target="https://www.spotrac.com/redirect/team/49/cap/2011" TargetMode="External"/><Relationship Id="rId443" Type="http://schemas.openxmlformats.org/officeDocument/2006/relationships/hyperlink" Target="https://www.spotrac.com/redirect/team/47/cap/2011" TargetMode="External"/><Relationship Id="rId464" Type="http://schemas.openxmlformats.org/officeDocument/2006/relationships/hyperlink" Target="https://www.spotrac.com/redirect/team/40/cap/2025" TargetMode="External"/><Relationship Id="rId303" Type="http://schemas.openxmlformats.org/officeDocument/2006/relationships/hyperlink" Target="https://www.spotrac.com/redirect/team/50/cap/2015" TargetMode="External"/><Relationship Id="rId42" Type="http://schemas.openxmlformats.org/officeDocument/2006/relationships/hyperlink" Target="https://www.spotrac.com/redirect/team/56/cap/2024" TargetMode="External"/><Relationship Id="rId84" Type="http://schemas.openxmlformats.org/officeDocument/2006/relationships/hyperlink" Target="https://www.spotrac.com/redirect/team/32/cap/2023" TargetMode="External"/><Relationship Id="rId138" Type="http://schemas.openxmlformats.org/officeDocument/2006/relationships/hyperlink" Target="https://www.spotrac.com/redirect/team/44/cap/2021" TargetMode="External"/><Relationship Id="rId345" Type="http://schemas.openxmlformats.org/officeDocument/2006/relationships/hyperlink" Target="https://www.spotrac.com/redirect/team/52/cap/2014" TargetMode="External"/><Relationship Id="rId387" Type="http://schemas.openxmlformats.org/officeDocument/2006/relationships/hyperlink" Target="https://www.spotrac.com/redirect/team/41/cap/2013" TargetMode="External"/><Relationship Id="rId191" Type="http://schemas.openxmlformats.org/officeDocument/2006/relationships/hyperlink" Target="https://www.spotrac.com/redirect/team/46/cap/2019" TargetMode="External"/><Relationship Id="rId205" Type="http://schemas.openxmlformats.org/officeDocument/2006/relationships/hyperlink" Target="https://www.spotrac.com/redirect/team/123/cap/2019" TargetMode="External"/><Relationship Id="rId247" Type="http://schemas.openxmlformats.org/officeDocument/2006/relationships/hyperlink" Target="https://www.spotrac.com/redirect/team/51/cap/2017" TargetMode="External"/><Relationship Id="rId412" Type="http://schemas.openxmlformats.org/officeDocument/2006/relationships/hyperlink" Target="https://www.spotrac.com/redirect/team/57/cap/2012" TargetMode="External"/><Relationship Id="rId107" Type="http://schemas.openxmlformats.org/officeDocument/2006/relationships/hyperlink" Target="https://www.spotrac.com/redirect/team/51/cap/2022" TargetMode="External"/><Relationship Id="rId289" Type="http://schemas.openxmlformats.org/officeDocument/2006/relationships/hyperlink" Target="https://www.spotrac.com/redirect/team/53/cap/2016" TargetMode="External"/><Relationship Id="rId454" Type="http://schemas.openxmlformats.org/officeDocument/2006/relationships/hyperlink" Target="https://www.spotrac.com/redirect/team/32/cap/2025" TargetMode="External"/><Relationship Id="rId11" Type="http://schemas.openxmlformats.org/officeDocument/2006/relationships/hyperlink" Target="https://www.spotrac.com/redirect/team/46/cap/2025" TargetMode="External"/><Relationship Id="rId53" Type="http://schemas.openxmlformats.org/officeDocument/2006/relationships/hyperlink" Target="https://www.spotrac.com/redirect/team/52/cap/2024" TargetMode="External"/><Relationship Id="rId149" Type="http://schemas.openxmlformats.org/officeDocument/2006/relationships/hyperlink" Target="https://www.spotrac.com/redirect/team/129/cap/2021" TargetMode="External"/><Relationship Id="rId314" Type="http://schemas.openxmlformats.org/officeDocument/2006/relationships/hyperlink" Target="https://www.spotrac.com/redirect/team/41/cap/2015" TargetMode="External"/><Relationship Id="rId356" Type="http://schemas.openxmlformats.org/officeDocument/2006/relationships/hyperlink" Target="https://www.spotrac.com/redirect/team/38/cap/2014" TargetMode="External"/><Relationship Id="rId398" Type="http://schemas.openxmlformats.org/officeDocument/2006/relationships/hyperlink" Target="https://www.spotrac.com/redirect/team/56/cap/2012" TargetMode="External"/><Relationship Id="rId95" Type="http://schemas.openxmlformats.org/officeDocument/2006/relationships/hyperlink" Target="https://www.spotrac.com/redirect/team/49/cap/2022" TargetMode="External"/><Relationship Id="rId160" Type="http://schemas.openxmlformats.org/officeDocument/2006/relationships/hyperlink" Target="https://www.spotrac.com/redirect/team/46/cap/2020" TargetMode="External"/><Relationship Id="rId216" Type="http://schemas.openxmlformats.org/officeDocument/2006/relationships/hyperlink" Target="https://www.spotrac.com/redirect/team/44/cap/2018" TargetMode="External"/><Relationship Id="rId423" Type="http://schemas.openxmlformats.org/officeDocument/2006/relationships/hyperlink" Target="https://www.spotrac.com/redirect/team/33/cap/2011" TargetMode="External"/><Relationship Id="rId258" Type="http://schemas.openxmlformats.org/officeDocument/2006/relationships/hyperlink" Target="https://www.spotrac.com/redirect/team/46/cap/2017" TargetMode="External"/><Relationship Id="rId465" Type="http://schemas.openxmlformats.org/officeDocument/2006/relationships/hyperlink" Target="https://www.spotrac.com/redirect/team/42/cap/2025" TargetMode="External"/><Relationship Id="rId22" Type="http://schemas.openxmlformats.org/officeDocument/2006/relationships/hyperlink" Target="https://www.spotrac.com/redirect/team/58/cap/2025" TargetMode="External"/><Relationship Id="rId64" Type="http://schemas.openxmlformats.org/officeDocument/2006/relationships/hyperlink" Target="https://www.spotrac.com/redirect/team/34/cap/2023" TargetMode="External"/><Relationship Id="rId118" Type="http://schemas.openxmlformats.org/officeDocument/2006/relationships/hyperlink" Target="https://www.spotrac.com/redirect/team/32/cap/2022" TargetMode="External"/><Relationship Id="rId325" Type="http://schemas.openxmlformats.org/officeDocument/2006/relationships/hyperlink" Target="https://www.spotrac.com/redirect/team/49/cap/2015" TargetMode="External"/><Relationship Id="rId367" Type="http://schemas.openxmlformats.org/officeDocument/2006/relationships/hyperlink" Target="https://www.spotrac.com/redirect/team/45/cap/2013" TargetMode="External"/><Relationship Id="rId171" Type="http://schemas.openxmlformats.org/officeDocument/2006/relationships/hyperlink" Target="https://www.spotrac.com/redirect/team/39/cap/2020" TargetMode="External"/><Relationship Id="rId227" Type="http://schemas.openxmlformats.org/officeDocument/2006/relationships/hyperlink" Target="https://www.spotrac.com/redirect/team/40/cap/2018" TargetMode="External"/><Relationship Id="rId269" Type="http://schemas.openxmlformats.org/officeDocument/2006/relationships/hyperlink" Target="https://www.spotrac.com/redirect/team/49/cap/2017" TargetMode="External"/><Relationship Id="rId434" Type="http://schemas.openxmlformats.org/officeDocument/2006/relationships/hyperlink" Target="https://www.spotrac.com/redirect/team/48/cap/2011" TargetMode="External"/><Relationship Id="rId476" Type="http://schemas.openxmlformats.org/officeDocument/2006/relationships/hyperlink" Target="https://www.spotrac.com/redirect/team/56/cap/2025" TargetMode="External"/><Relationship Id="rId33" Type="http://schemas.openxmlformats.org/officeDocument/2006/relationships/hyperlink" Target="https://www.spotrac.com/redirect/team/59/cap/2024" TargetMode="External"/><Relationship Id="rId129" Type="http://schemas.openxmlformats.org/officeDocument/2006/relationships/hyperlink" Target="https://www.spotrac.com/redirect/team/37/cap/2021" TargetMode="External"/><Relationship Id="rId280" Type="http://schemas.openxmlformats.org/officeDocument/2006/relationships/hyperlink" Target="https://www.spotrac.com/redirect/team/56/cap/2016" TargetMode="External"/><Relationship Id="rId336" Type="http://schemas.openxmlformats.org/officeDocument/2006/relationships/hyperlink" Target="https://www.spotrac.com/redirect/team/50/cap/2014" TargetMode="External"/><Relationship Id="rId75" Type="http://schemas.openxmlformats.org/officeDocument/2006/relationships/hyperlink" Target="https://www.spotrac.com/redirect/team/56/cap/2023" TargetMode="External"/><Relationship Id="rId140" Type="http://schemas.openxmlformats.org/officeDocument/2006/relationships/hyperlink" Target="https://www.spotrac.com/redirect/team/40/cap/2021" TargetMode="External"/><Relationship Id="rId182" Type="http://schemas.openxmlformats.org/officeDocument/2006/relationships/hyperlink" Target="https://www.spotrac.com/redirect/team/34/cap/2019" TargetMode="External"/><Relationship Id="rId378" Type="http://schemas.openxmlformats.org/officeDocument/2006/relationships/hyperlink" Target="https://www.spotrac.com/redirect/team/40/cap/2013" TargetMode="External"/><Relationship Id="rId403" Type="http://schemas.openxmlformats.org/officeDocument/2006/relationships/hyperlink" Target="https://www.spotrac.com/redirect/team/48/cap/2012" TargetMode="External"/><Relationship Id="rId6" Type="http://schemas.openxmlformats.org/officeDocument/2006/relationships/hyperlink" Target="https://www.spotrac.com/redirect/team/123/cap/2025" TargetMode="External"/><Relationship Id="rId238" Type="http://schemas.openxmlformats.org/officeDocument/2006/relationships/hyperlink" Target="https://www.spotrac.com/redirect/team/123/cap/2018" TargetMode="External"/><Relationship Id="rId445" Type="http://schemas.openxmlformats.org/officeDocument/2006/relationships/hyperlink" Target="https://www.spotrac.com/redirect/team/36/cap/2011" TargetMode="External"/><Relationship Id="rId291" Type="http://schemas.openxmlformats.org/officeDocument/2006/relationships/hyperlink" Target="https://www.spotrac.com/redirect/team/52/cap/2016" TargetMode="External"/><Relationship Id="rId305" Type="http://schemas.openxmlformats.org/officeDocument/2006/relationships/hyperlink" Target="https://www.spotrac.com/redirect/team/56/cap/2015" TargetMode="External"/><Relationship Id="rId347" Type="http://schemas.openxmlformats.org/officeDocument/2006/relationships/hyperlink" Target="https://www.spotrac.com/redirect/team/33/cap/2014" TargetMode="External"/><Relationship Id="rId44" Type="http://schemas.openxmlformats.org/officeDocument/2006/relationships/hyperlink" Target="https://www.spotrac.com/redirect/team/41/cap/2024" TargetMode="External"/><Relationship Id="rId86" Type="http://schemas.openxmlformats.org/officeDocument/2006/relationships/hyperlink" Target="https://www.spotrac.com/redirect/team/50/cap/2023" TargetMode="External"/><Relationship Id="rId151" Type="http://schemas.openxmlformats.org/officeDocument/2006/relationships/hyperlink" Target="https://www.spotrac.com/redirect/team/59/cap/2020" TargetMode="External"/><Relationship Id="rId389" Type="http://schemas.openxmlformats.org/officeDocument/2006/relationships/hyperlink" Target="https://www.spotrac.com/redirect/team/129/cap/2013" TargetMode="External"/><Relationship Id="rId193" Type="http://schemas.openxmlformats.org/officeDocument/2006/relationships/hyperlink" Target="https://www.spotrac.com/redirect/team/48/cap/2019" TargetMode="External"/><Relationship Id="rId207" Type="http://schemas.openxmlformats.org/officeDocument/2006/relationships/hyperlink" Target="https://www.spotrac.com/redirect/team/35/cap/2019" TargetMode="External"/><Relationship Id="rId249" Type="http://schemas.openxmlformats.org/officeDocument/2006/relationships/hyperlink" Target="https://www.spotrac.com/redirect/team/36/cap/2017" TargetMode="External"/><Relationship Id="rId414" Type="http://schemas.openxmlformats.org/officeDocument/2006/relationships/hyperlink" Target="https://www.spotrac.com/redirect/team/38/cap/2012" TargetMode="External"/><Relationship Id="rId456" Type="http://schemas.openxmlformats.org/officeDocument/2006/relationships/hyperlink" Target="https://www.spotrac.com/redirect/team/51/cap/2025" TargetMode="External"/><Relationship Id="rId13" Type="http://schemas.openxmlformats.org/officeDocument/2006/relationships/hyperlink" Target="https://www.spotrac.com/redirect/team/45/cap/2025" TargetMode="External"/><Relationship Id="rId109" Type="http://schemas.openxmlformats.org/officeDocument/2006/relationships/hyperlink" Target="https://www.spotrac.com/redirect/team/58/cap/2022" TargetMode="External"/><Relationship Id="rId260" Type="http://schemas.openxmlformats.org/officeDocument/2006/relationships/hyperlink" Target="https://www.spotrac.com/redirect/team/41/cap/2017" TargetMode="External"/><Relationship Id="rId316" Type="http://schemas.openxmlformats.org/officeDocument/2006/relationships/hyperlink" Target="https://www.spotrac.com/redirect/team/33/cap/2015" TargetMode="External"/><Relationship Id="rId55" Type="http://schemas.openxmlformats.org/officeDocument/2006/relationships/hyperlink" Target="https://www.spotrac.com/redirect/team/969/cap/2024" TargetMode="External"/><Relationship Id="rId97" Type="http://schemas.openxmlformats.org/officeDocument/2006/relationships/hyperlink" Target="https://www.spotrac.com/redirect/team/53/cap/2022" TargetMode="External"/><Relationship Id="rId120" Type="http://schemas.openxmlformats.org/officeDocument/2006/relationships/hyperlink" Target="https://www.spotrac.com/redirect/team/43/cap/2022" TargetMode="External"/><Relationship Id="rId358" Type="http://schemas.openxmlformats.org/officeDocument/2006/relationships/hyperlink" Target="https://www.spotrac.com/redirect/team/51/cap/2014" TargetMode="External"/><Relationship Id="rId162" Type="http://schemas.openxmlformats.org/officeDocument/2006/relationships/hyperlink" Target="https://www.spotrac.com/redirect/team/48/cap/2020" TargetMode="External"/><Relationship Id="rId218" Type="http://schemas.openxmlformats.org/officeDocument/2006/relationships/hyperlink" Target="https://www.spotrac.com/redirect/team/50/cap/2018" TargetMode="External"/><Relationship Id="rId425" Type="http://schemas.openxmlformats.org/officeDocument/2006/relationships/hyperlink" Target="https://www.spotrac.com/redirect/team/61/cap/2011" TargetMode="External"/><Relationship Id="rId467" Type="http://schemas.openxmlformats.org/officeDocument/2006/relationships/hyperlink" Target="https://www.spotrac.com/redirect/team/54/cap/2025" TargetMode="External"/><Relationship Id="rId271" Type="http://schemas.openxmlformats.org/officeDocument/2006/relationships/hyperlink" Target="https://www.spotrac.com/redirect/team/59/cap/2016" TargetMode="External"/><Relationship Id="rId24" Type="http://schemas.openxmlformats.org/officeDocument/2006/relationships/hyperlink" Target="https://www.spotrac.com/redirect/team/41/cap/2025" TargetMode="External"/><Relationship Id="rId66" Type="http://schemas.openxmlformats.org/officeDocument/2006/relationships/hyperlink" Target="https://www.spotrac.com/redirect/team/46/cap/2023" TargetMode="External"/><Relationship Id="rId131" Type="http://schemas.openxmlformats.org/officeDocument/2006/relationships/hyperlink" Target="https://www.spotrac.com/redirect/team/46/cap/2021" TargetMode="External"/><Relationship Id="rId327" Type="http://schemas.openxmlformats.org/officeDocument/2006/relationships/hyperlink" Target="https://www.spotrac.com/redirect/team/38/cap/2015" TargetMode="External"/><Relationship Id="rId369" Type="http://schemas.openxmlformats.org/officeDocument/2006/relationships/hyperlink" Target="https://www.spotrac.com/redirect/team/42/cap/2013" TargetMode="External"/><Relationship Id="rId173" Type="http://schemas.openxmlformats.org/officeDocument/2006/relationships/hyperlink" Target="https://www.spotrac.com/redirect/team/44/cap/2020" TargetMode="External"/><Relationship Id="rId229" Type="http://schemas.openxmlformats.org/officeDocument/2006/relationships/hyperlink" Target="https://www.spotrac.com/redirect/team/52/cap/2018" TargetMode="External"/><Relationship Id="rId380" Type="http://schemas.openxmlformats.org/officeDocument/2006/relationships/hyperlink" Target="https://www.spotrac.com/redirect/team/48/cap/2013" TargetMode="External"/><Relationship Id="rId436" Type="http://schemas.openxmlformats.org/officeDocument/2006/relationships/hyperlink" Target="https://www.spotrac.com/redirect/team/32/cap/2011" TargetMode="External"/><Relationship Id="rId240" Type="http://schemas.openxmlformats.org/officeDocument/2006/relationships/hyperlink" Target="https://www.spotrac.com/redirect/team/35/cap/2018" TargetMode="External"/><Relationship Id="rId478" Type="http://schemas.openxmlformats.org/officeDocument/2006/relationships/hyperlink" Target="https://www.spotrac.com/redirect/team/45/cap/2025" TargetMode="External"/><Relationship Id="rId35" Type="http://schemas.openxmlformats.org/officeDocument/2006/relationships/hyperlink" Target="https://www.spotrac.com/redirect/team/51/cap/2024" TargetMode="External"/><Relationship Id="rId77" Type="http://schemas.openxmlformats.org/officeDocument/2006/relationships/hyperlink" Target="https://www.spotrac.com/redirect/team/41/cap/2023" TargetMode="External"/><Relationship Id="rId100" Type="http://schemas.openxmlformats.org/officeDocument/2006/relationships/hyperlink" Target="https://www.spotrac.com/redirect/team/56/cap/2022" TargetMode="External"/><Relationship Id="rId282" Type="http://schemas.openxmlformats.org/officeDocument/2006/relationships/hyperlink" Target="https://www.spotrac.com/redirect/team/50/cap/2016" TargetMode="External"/><Relationship Id="rId338" Type="http://schemas.openxmlformats.org/officeDocument/2006/relationships/hyperlink" Target="https://www.spotrac.com/redirect/team/45/cap/2014" TargetMode="External"/><Relationship Id="rId8" Type="http://schemas.openxmlformats.org/officeDocument/2006/relationships/hyperlink" Target="https://www.spotrac.com/redirect/team/53/cap/2025" TargetMode="External"/><Relationship Id="rId142" Type="http://schemas.openxmlformats.org/officeDocument/2006/relationships/hyperlink" Target="https://www.spotrac.com/redirect/team/50/cap/2021" TargetMode="External"/><Relationship Id="rId184" Type="http://schemas.openxmlformats.org/officeDocument/2006/relationships/hyperlink" Target="https://www.spotrac.com/redirect/team/59/cap/2019" TargetMode="External"/><Relationship Id="rId391" Type="http://schemas.openxmlformats.org/officeDocument/2006/relationships/hyperlink" Target="https://www.spotrac.com/redirect/team/34/cap/2012" TargetMode="External"/><Relationship Id="rId405" Type="http://schemas.openxmlformats.org/officeDocument/2006/relationships/hyperlink" Target="https://www.spotrac.com/redirect/team/36/cap/2012" TargetMode="External"/><Relationship Id="rId447" Type="http://schemas.openxmlformats.org/officeDocument/2006/relationships/hyperlink" Target="https://www.spotrac.com/redirect/team/123/cap/2011" TargetMode="External"/><Relationship Id="rId251" Type="http://schemas.openxmlformats.org/officeDocument/2006/relationships/hyperlink" Target="https://www.spotrac.com/redirect/team/40/cap/2017" TargetMode="External"/><Relationship Id="rId46" Type="http://schemas.openxmlformats.org/officeDocument/2006/relationships/hyperlink" Target="https://www.spotrac.com/redirect/team/40/cap/2024" TargetMode="External"/><Relationship Id="rId293" Type="http://schemas.openxmlformats.org/officeDocument/2006/relationships/hyperlink" Target="https://www.spotrac.com/redirect/team/129/cap/2016" TargetMode="External"/><Relationship Id="rId307" Type="http://schemas.openxmlformats.org/officeDocument/2006/relationships/hyperlink" Target="https://www.spotrac.com/redirect/team/40/cap/2015" TargetMode="External"/><Relationship Id="rId349" Type="http://schemas.openxmlformats.org/officeDocument/2006/relationships/hyperlink" Target="https://www.spotrac.com/redirect/team/48/cap/2014" TargetMode="External"/><Relationship Id="rId88" Type="http://schemas.openxmlformats.org/officeDocument/2006/relationships/hyperlink" Target="https://www.spotrac.com/redirect/team/42/cap/2023" TargetMode="External"/><Relationship Id="rId111" Type="http://schemas.openxmlformats.org/officeDocument/2006/relationships/hyperlink" Target="https://www.spotrac.com/redirect/team/50/cap/2022" TargetMode="External"/><Relationship Id="rId153" Type="http://schemas.openxmlformats.org/officeDocument/2006/relationships/hyperlink" Target="https://www.spotrac.com/redirect/team/51/cap/2020" TargetMode="External"/><Relationship Id="rId195" Type="http://schemas.openxmlformats.org/officeDocument/2006/relationships/hyperlink" Target="https://www.spotrac.com/redirect/team/45/cap/2019" TargetMode="External"/><Relationship Id="rId209" Type="http://schemas.openxmlformats.org/officeDocument/2006/relationships/hyperlink" Target="https://www.spotrac.com/redirect/team/36/cap/2019" TargetMode="External"/><Relationship Id="rId360" Type="http://schemas.openxmlformats.org/officeDocument/2006/relationships/hyperlink" Target="https://www.spotrac.com/redirect/team/129/cap/2014" TargetMode="External"/><Relationship Id="rId416" Type="http://schemas.openxmlformats.org/officeDocument/2006/relationships/hyperlink" Target="https://www.spotrac.com/redirect/team/40/cap/2012" TargetMode="External"/><Relationship Id="rId220" Type="http://schemas.openxmlformats.org/officeDocument/2006/relationships/hyperlink" Target="https://www.spotrac.com/redirect/team/61/cap/2018" TargetMode="External"/><Relationship Id="rId458" Type="http://schemas.openxmlformats.org/officeDocument/2006/relationships/hyperlink" Target="https://www.spotrac.com/redirect/team/52/cap/2025" TargetMode="External"/><Relationship Id="rId15" Type="http://schemas.openxmlformats.org/officeDocument/2006/relationships/hyperlink" Target="https://www.spotrac.com/redirect/team/42/cap/2025" TargetMode="External"/><Relationship Id="rId57" Type="http://schemas.openxmlformats.org/officeDocument/2006/relationships/hyperlink" Target="https://www.spotrac.com/redirect/team/35/cap/2024" TargetMode="External"/><Relationship Id="rId262" Type="http://schemas.openxmlformats.org/officeDocument/2006/relationships/hyperlink" Target="https://www.spotrac.com/redirect/team/55/cap/2017" TargetMode="External"/><Relationship Id="rId318" Type="http://schemas.openxmlformats.org/officeDocument/2006/relationships/hyperlink" Target="https://www.spotrac.com/redirect/team/123/cap/2015" TargetMode="External"/><Relationship Id="rId99" Type="http://schemas.openxmlformats.org/officeDocument/2006/relationships/hyperlink" Target="https://www.spotrac.com/redirect/team/36/cap/2022" TargetMode="External"/><Relationship Id="rId122" Type="http://schemas.openxmlformats.org/officeDocument/2006/relationships/hyperlink" Target="https://www.spotrac.com/redirect/team/59/cap/2021" TargetMode="External"/><Relationship Id="rId164" Type="http://schemas.openxmlformats.org/officeDocument/2006/relationships/hyperlink" Target="https://www.spotrac.com/redirect/team/37/cap/2020" TargetMode="External"/><Relationship Id="rId371" Type="http://schemas.openxmlformats.org/officeDocument/2006/relationships/hyperlink" Target="https://www.spotrac.com/redirect/team/50/cap/2013" TargetMode="External"/><Relationship Id="rId427" Type="http://schemas.openxmlformats.org/officeDocument/2006/relationships/hyperlink" Target="https://www.spotrac.com/redirect/team/56/cap/2011" TargetMode="External"/><Relationship Id="rId469" Type="http://schemas.openxmlformats.org/officeDocument/2006/relationships/hyperlink" Target="https://www.spotrac.com/redirect/team/48/cap/2025" TargetMode="External"/><Relationship Id="rId26" Type="http://schemas.openxmlformats.org/officeDocument/2006/relationships/hyperlink" Target="https://www.spotrac.com/redirect/team/969/cap/2025" TargetMode="External"/><Relationship Id="rId231" Type="http://schemas.openxmlformats.org/officeDocument/2006/relationships/hyperlink" Target="https://www.spotrac.com/redirect/team/46/cap/2018" TargetMode="External"/><Relationship Id="rId273" Type="http://schemas.openxmlformats.org/officeDocument/2006/relationships/hyperlink" Target="https://www.spotrac.com/redirect/team/51/cap/2016" TargetMode="External"/><Relationship Id="rId329" Type="http://schemas.openxmlformats.org/officeDocument/2006/relationships/hyperlink" Target="https://www.spotrac.com/redirect/team/43/cap/2015" TargetMode="External"/><Relationship Id="rId480" Type="http://schemas.openxmlformats.org/officeDocument/2006/relationships/hyperlink" Target="https://www.spotrac.com/redirect/team/50/cap/2022" TargetMode="External"/><Relationship Id="rId68" Type="http://schemas.openxmlformats.org/officeDocument/2006/relationships/hyperlink" Target="https://www.spotrac.com/redirect/team/59/cap/2023" TargetMode="External"/><Relationship Id="rId133" Type="http://schemas.openxmlformats.org/officeDocument/2006/relationships/hyperlink" Target="https://www.spotrac.com/redirect/team/52/cap/2021" TargetMode="External"/><Relationship Id="rId175" Type="http://schemas.openxmlformats.org/officeDocument/2006/relationships/hyperlink" Target="https://www.spotrac.com/redirect/team/58/cap/2020" TargetMode="External"/><Relationship Id="rId340" Type="http://schemas.openxmlformats.org/officeDocument/2006/relationships/hyperlink" Target="https://www.spotrac.com/redirect/team/56/cap/2014" TargetMode="External"/><Relationship Id="rId200" Type="http://schemas.openxmlformats.org/officeDocument/2006/relationships/hyperlink" Target="https://www.spotrac.com/redirect/team/49/cap/2019" TargetMode="External"/><Relationship Id="rId382" Type="http://schemas.openxmlformats.org/officeDocument/2006/relationships/hyperlink" Target="https://www.spotrac.com/redirect/team/35/cap/2013" TargetMode="External"/><Relationship Id="rId438" Type="http://schemas.openxmlformats.org/officeDocument/2006/relationships/hyperlink" Target="https://www.spotrac.com/redirect/team/52/cap/2011" TargetMode="External"/><Relationship Id="rId242" Type="http://schemas.openxmlformats.org/officeDocument/2006/relationships/hyperlink" Target="https://www.spotrac.com/redirect/team/33/cap/2017" TargetMode="External"/><Relationship Id="rId284" Type="http://schemas.openxmlformats.org/officeDocument/2006/relationships/hyperlink" Target="https://www.spotrac.com/redirect/team/48/cap/2016" TargetMode="External"/><Relationship Id="rId37" Type="http://schemas.openxmlformats.org/officeDocument/2006/relationships/hyperlink" Target="https://www.spotrac.com/redirect/team/46/cap/2024" TargetMode="External"/><Relationship Id="rId79" Type="http://schemas.openxmlformats.org/officeDocument/2006/relationships/hyperlink" Target="https://www.spotrac.com/redirect/team/44/cap/2023" TargetMode="External"/><Relationship Id="rId102" Type="http://schemas.openxmlformats.org/officeDocument/2006/relationships/hyperlink" Target="https://www.spotrac.com/redirect/team/33/cap/2022" TargetMode="External"/><Relationship Id="rId144" Type="http://schemas.openxmlformats.org/officeDocument/2006/relationships/hyperlink" Target="https://www.spotrac.com/redirect/team/38/cap/2021" TargetMode="External"/><Relationship Id="rId90" Type="http://schemas.openxmlformats.org/officeDocument/2006/relationships/hyperlink" Target="https://www.spotrac.com/redirect/team/55/cap/2023" TargetMode="External"/><Relationship Id="rId186" Type="http://schemas.openxmlformats.org/officeDocument/2006/relationships/hyperlink" Target="https://www.spotrac.com/redirect/team/53/cap/2019" TargetMode="External"/><Relationship Id="rId351" Type="http://schemas.openxmlformats.org/officeDocument/2006/relationships/hyperlink" Target="https://www.spotrac.com/redirect/team/35/cap/2014" TargetMode="External"/><Relationship Id="rId393" Type="http://schemas.openxmlformats.org/officeDocument/2006/relationships/hyperlink" Target="https://www.spotrac.com/redirect/team/33/cap/2012" TargetMode="External"/><Relationship Id="rId407" Type="http://schemas.openxmlformats.org/officeDocument/2006/relationships/hyperlink" Target="https://www.spotrac.com/redirect/team/46/cap/2012" TargetMode="External"/><Relationship Id="rId449" Type="http://schemas.openxmlformats.org/officeDocument/2006/relationships/hyperlink" Target="https://www.spotrac.com/redirect/team/55/cap/2011" TargetMode="External"/><Relationship Id="rId211" Type="http://schemas.openxmlformats.org/officeDocument/2006/relationships/hyperlink" Target="https://www.spotrac.com/redirect/team/33/cap/2018" TargetMode="External"/><Relationship Id="rId253" Type="http://schemas.openxmlformats.org/officeDocument/2006/relationships/hyperlink" Target="https://www.spotrac.com/redirect/team/38/cap/2017" TargetMode="External"/><Relationship Id="rId295" Type="http://schemas.openxmlformats.org/officeDocument/2006/relationships/hyperlink" Target="https://www.spotrac.com/redirect/team/49/cap/2016" TargetMode="External"/><Relationship Id="rId309" Type="http://schemas.openxmlformats.org/officeDocument/2006/relationships/hyperlink" Target="https://www.spotrac.com/redirect/team/32/cap/2015" TargetMode="External"/><Relationship Id="rId460" Type="http://schemas.openxmlformats.org/officeDocument/2006/relationships/hyperlink" Target="https://www.spotrac.com/redirect/team/58/cap/2025" TargetMode="External"/><Relationship Id="rId48" Type="http://schemas.openxmlformats.org/officeDocument/2006/relationships/hyperlink" Target="https://www.spotrac.com/redirect/team/33/cap/2024" TargetMode="External"/><Relationship Id="rId113" Type="http://schemas.openxmlformats.org/officeDocument/2006/relationships/hyperlink" Target="https://www.spotrac.com/redirect/team/129/cap/2022" TargetMode="External"/><Relationship Id="rId320" Type="http://schemas.openxmlformats.org/officeDocument/2006/relationships/hyperlink" Target="https://www.spotrac.com/redirect/team/58/cap/2015" TargetMode="External"/><Relationship Id="rId155" Type="http://schemas.openxmlformats.org/officeDocument/2006/relationships/hyperlink" Target="https://www.spotrac.com/redirect/team/49/cap/2020" TargetMode="External"/><Relationship Id="rId197" Type="http://schemas.openxmlformats.org/officeDocument/2006/relationships/hyperlink" Target="https://www.spotrac.com/redirect/team/52/cap/2019" TargetMode="External"/><Relationship Id="rId362" Type="http://schemas.openxmlformats.org/officeDocument/2006/relationships/hyperlink" Target="https://www.spotrac.com/redirect/team/59/cap/2013" TargetMode="External"/><Relationship Id="rId418" Type="http://schemas.openxmlformats.org/officeDocument/2006/relationships/hyperlink" Target="https://www.spotrac.com/redirect/team/55/cap/2012" TargetMode="External"/><Relationship Id="rId222" Type="http://schemas.openxmlformats.org/officeDocument/2006/relationships/hyperlink" Target="https://www.spotrac.com/redirect/team/57/cap/2018" TargetMode="External"/><Relationship Id="rId264" Type="http://schemas.openxmlformats.org/officeDocument/2006/relationships/hyperlink" Target="https://www.spotrac.com/redirect/team/35/cap/2017" TargetMode="External"/><Relationship Id="rId471" Type="http://schemas.openxmlformats.org/officeDocument/2006/relationships/hyperlink" Target="https://www.spotrac.com/redirect/team/49/cap/2025" TargetMode="External"/><Relationship Id="rId17" Type="http://schemas.openxmlformats.org/officeDocument/2006/relationships/hyperlink" Target="https://www.spotrac.com/redirect/team/54/cap/2025" TargetMode="External"/><Relationship Id="rId59" Type="http://schemas.openxmlformats.org/officeDocument/2006/relationships/hyperlink" Target="https://www.spotrac.com/redirect/team/43/cap/2024" TargetMode="External"/><Relationship Id="rId124" Type="http://schemas.openxmlformats.org/officeDocument/2006/relationships/hyperlink" Target="https://www.spotrac.com/redirect/team/34/cap/2021" TargetMode="External"/><Relationship Id="rId70" Type="http://schemas.openxmlformats.org/officeDocument/2006/relationships/hyperlink" Target="https://www.spotrac.com/redirect/team/61/cap/2023" TargetMode="External"/><Relationship Id="rId166" Type="http://schemas.openxmlformats.org/officeDocument/2006/relationships/hyperlink" Target="https://www.spotrac.com/redirect/team/33/cap/2020" TargetMode="External"/><Relationship Id="rId331" Type="http://schemas.openxmlformats.org/officeDocument/2006/relationships/hyperlink" Target="https://www.spotrac.com/redirect/team/59/cap/2014" TargetMode="External"/><Relationship Id="rId373" Type="http://schemas.openxmlformats.org/officeDocument/2006/relationships/hyperlink" Target="https://www.spotrac.com/redirect/team/52/cap/2013" TargetMode="External"/><Relationship Id="rId429" Type="http://schemas.openxmlformats.org/officeDocument/2006/relationships/hyperlink" Target="https://www.spotrac.com/redirect/team/39/cap/2011" TargetMode="External"/><Relationship Id="rId1" Type="http://schemas.openxmlformats.org/officeDocument/2006/relationships/hyperlink" Target="https://www.spotrac.com/redirect/team/59/cap/2025" TargetMode="External"/><Relationship Id="rId233" Type="http://schemas.openxmlformats.org/officeDocument/2006/relationships/hyperlink" Target="https://www.spotrac.com/redirect/team/55/cap/2018" TargetMode="External"/><Relationship Id="rId440" Type="http://schemas.openxmlformats.org/officeDocument/2006/relationships/hyperlink" Target="https://www.spotrac.com/redirect/team/53/cap/2011" TargetMode="External"/><Relationship Id="rId28" Type="http://schemas.openxmlformats.org/officeDocument/2006/relationships/hyperlink" Target="https://www.spotrac.com/redirect/team/129/cap/2025" TargetMode="External"/><Relationship Id="rId275" Type="http://schemas.openxmlformats.org/officeDocument/2006/relationships/hyperlink" Target="https://www.spotrac.com/redirect/team/39/cap/2016" TargetMode="External"/><Relationship Id="rId300" Type="http://schemas.openxmlformats.org/officeDocument/2006/relationships/hyperlink" Target="https://www.spotrac.com/redirect/team/123/cap/2016" TargetMode="External"/><Relationship Id="rId81" Type="http://schemas.openxmlformats.org/officeDocument/2006/relationships/hyperlink" Target="https://www.spotrac.com/redirect/team/57/cap/2023" TargetMode="External"/><Relationship Id="rId135" Type="http://schemas.openxmlformats.org/officeDocument/2006/relationships/hyperlink" Target="https://www.spotrac.com/redirect/team/54/cap/2021" TargetMode="External"/><Relationship Id="rId177" Type="http://schemas.openxmlformats.org/officeDocument/2006/relationships/hyperlink" Target="https://www.spotrac.com/redirect/team/57/cap/2020" TargetMode="External"/><Relationship Id="rId342" Type="http://schemas.openxmlformats.org/officeDocument/2006/relationships/hyperlink" Target="https://www.spotrac.com/redirect/team/54/cap/2014" TargetMode="External"/><Relationship Id="rId384" Type="http://schemas.openxmlformats.org/officeDocument/2006/relationships/hyperlink" Target="https://www.spotrac.com/redirect/team/43/cap/2013" TargetMode="External"/><Relationship Id="rId202" Type="http://schemas.openxmlformats.org/officeDocument/2006/relationships/hyperlink" Target="https://www.spotrac.com/redirect/team/40/cap/2019" TargetMode="External"/><Relationship Id="rId244" Type="http://schemas.openxmlformats.org/officeDocument/2006/relationships/hyperlink" Target="https://www.spotrac.com/redirect/team/34/cap/2017" TargetMode="External"/><Relationship Id="rId39" Type="http://schemas.openxmlformats.org/officeDocument/2006/relationships/hyperlink" Target="https://www.spotrac.com/redirect/team/123/cap/2024" TargetMode="External"/><Relationship Id="rId286" Type="http://schemas.openxmlformats.org/officeDocument/2006/relationships/hyperlink" Target="https://www.spotrac.com/redirect/team/37/cap/2016" TargetMode="External"/><Relationship Id="rId451" Type="http://schemas.openxmlformats.org/officeDocument/2006/relationships/hyperlink" Target="https://www.spotrac.com/redirect/team/57/cap/2025" TargetMode="External"/><Relationship Id="rId50" Type="http://schemas.openxmlformats.org/officeDocument/2006/relationships/hyperlink" Target="https://www.spotrac.com/redirect/team/54/cap/2024" TargetMode="External"/><Relationship Id="rId104" Type="http://schemas.openxmlformats.org/officeDocument/2006/relationships/hyperlink" Target="https://www.spotrac.com/redirect/team/45/cap/2022" TargetMode="External"/><Relationship Id="rId146" Type="http://schemas.openxmlformats.org/officeDocument/2006/relationships/hyperlink" Target="https://www.spotrac.com/redirect/team/51/cap/2021" TargetMode="External"/><Relationship Id="rId188" Type="http://schemas.openxmlformats.org/officeDocument/2006/relationships/hyperlink" Target="https://www.spotrac.com/redirect/team/56/cap/2019" TargetMode="External"/><Relationship Id="rId311" Type="http://schemas.openxmlformats.org/officeDocument/2006/relationships/hyperlink" Target="https://www.spotrac.com/redirect/team/42/cap/2015" TargetMode="External"/><Relationship Id="rId353" Type="http://schemas.openxmlformats.org/officeDocument/2006/relationships/hyperlink" Target="https://www.spotrac.com/redirect/team/57/cap/2014" TargetMode="External"/><Relationship Id="rId395" Type="http://schemas.openxmlformats.org/officeDocument/2006/relationships/hyperlink" Target="https://www.spotrac.com/redirect/team/39/cap/2012" TargetMode="External"/><Relationship Id="rId409" Type="http://schemas.openxmlformats.org/officeDocument/2006/relationships/hyperlink" Target="https://www.spotrac.com/redirect/team/129/cap/2012" TargetMode="External"/><Relationship Id="rId92" Type="http://schemas.openxmlformats.org/officeDocument/2006/relationships/hyperlink" Target="https://www.spotrac.com/redirect/team/59/cap/2022" TargetMode="External"/><Relationship Id="rId213" Type="http://schemas.openxmlformats.org/officeDocument/2006/relationships/hyperlink" Target="https://www.spotrac.com/redirect/team/53/cap/2018" TargetMode="External"/><Relationship Id="rId420" Type="http://schemas.openxmlformats.org/officeDocument/2006/relationships/hyperlink" Target="https://www.spotrac.com/redirect/team/53/cap/2012" TargetMode="External"/><Relationship Id="rId255" Type="http://schemas.openxmlformats.org/officeDocument/2006/relationships/hyperlink" Target="https://www.spotrac.com/redirect/team/58/cap/2017" TargetMode="External"/><Relationship Id="rId297" Type="http://schemas.openxmlformats.org/officeDocument/2006/relationships/hyperlink" Target="https://www.spotrac.com/redirect/team/46/cap/2016" TargetMode="External"/><Relationship Id="rId462" Type="http://schemas.openxmlformats.org/officeDocument/2006/relationships/hyperlink" Target="https://www.spotrac.com/redirect/team/47/cap/2011" TargetMode="External"/><Relationship Id="rId115" Type="http://schemas.openxmlformats.org/officeDocument/2006/relationships/hyperlink" Target="https://www.spotrac.com/redirect/team/35/cap/2022" TargetMode="External"/><Relationship Id="rId157" Type="http://schemas.openxmlformats.org/officeDocument/2006/relationships/hyperlink" Target="https://www.spotrac.com/redirect/team/123/cap/2020" TargetMode="External"/><Relationship Id="rId322" Type="http://schemas.openxmlformats.org/officeDocument/2006/relationships/hyperlink" Target="https://www.spotrac.com/redirect/team/53/cap/2015" TargetMode="External"/><Relationship Id="rId364" Type="http://schemas.openxmlformats.org/officeDocument/2006/relationships/hyperlink" Target="https://www.spotrac.com/redirect/team/49/cap/2013" TargetMode="External"/><Relationship Id="rId61" Type="http://schemas.openxmlformats.org/officeDocument/2006/relationships/hyperlink" Target="https://www.spotrac.com/redirect/team/49/cap/2023" TargetMode="External"/><Relationship Id="rId199" Type="http://schemas.openxmlformats.org/officeDocument/2006/relationships/hyperlink" Target="https://www.spotrac.com/redirect/team/43/cap/2019" TargetMode="External"/><Relationship Id="rId19" Type="http://schemas.openxmlformats.org/officeDocument/2006/relationships/hyperlink" Target="https://www.spotrac.com/redirect/team/52/cap/2025" TargetMode="External"/><Relationship Id="rId224" Type="http://schemas.openxmlformats.org/officeDocument/2006/relationships/hyperlink" Target="https://www.spotrac.com/redirect/team/45/cap/2018" TargetMode="External"/><Relationship Id="rId266" Type="http://schemas.openxmlformats.org/officeDocument/2006/relationships/hyperlink" Target="https://www.spotrac.com/redirect/team/48/cap/2017" TargetMode="External"/><Relationship Id="rId431" Type="http://schemas.openxmlformats.org/officeDocument/2006/relationships/hyperlink" Target="https://www.spotrac.com/redirect/team/45/cap/2011" TargetMode="External"/><Relationship Id="rId473" Type="http://schemas.openxmlformats.org/officeDocument/2006/relationships/hyperlink" Target="https://www.spotrac.com/redirect/team/123/cap/2025" TargetMode="External"/><Relationship Id="rId30" Type="http://schemas.openxmlformats.org/officeDocument/2006/relationships/hyperlink" Target="https://www.spotrac.com/redirect/team/37/cap/2025" TargetMode="External"/><Relationship Id="rId126" Type="http://schemas.openxmlformats.org/officeDocument/2006/relationships/hyperlink" Target="https://www.spotrac.com/redirect/team/49/cap/2021" TargetMode="External"/><Relationship Id="rId168" Type="http://schemas.openxmlformats.org/officeDocument/2006/relationships/hyperlink" Target="https://www.spotrac.com/redirect/team/38/cap/2020" TargetMode="External"/><Relationship Id="rId333" Type="http://schemas.openxmlformats.org/officeDocument/2006/relationships/hyperlink" Target="https://www.spotrac.com/redirect/team/61/cap/2014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tatmuse.com/mlb/team/philadelphia-phillies-franchise-27/history" TargetMode="External"/><Relationship Id="rId13" Type="http://schemas.openxmlformats.org/officeDocument/2006/relationships/hyperlink" Target="https://www.statmuse.com/mlb/team/cleveland-guardians-franchise-71/history" TargetMode="External"/><Relationship Id="rId18" Type="http://schemas.openxmlformats.org/officeDocument/2006/relationships/hyperlink" Target="https://www.statmuse.com/mlb/team/milwaukee-brewers-franchise-92/history" TargetMode="External"/><Relationship Id="rId3" Type="http://schemas.openxmlformats.org/officeDocument/2006/relationships/hyperlink" Target="https://www.statmuse.com/mlb/team/new-york-yankees-franchise-76/history" TargetMode="External"/><Relationship Id="rId21" Type="http://schemas.openxmlformats.org/officeDocument/2006/relationships/hyperlink" Target="https://www.statmuse.com/mlb/team/seattle-mariners-franchise-93/history" TargetMode="External"/><Relationship Id="rId7" Type="http://schemas.openxmlformats.org/officeDocument/2006/relationships/hyperlink" Target="https://www.statmuse.com/mlb/team/boston-red-sox-franchise-69/history" TargetMode="External"/><Relationship Id="rId12" Type="http://schemas.openxmlformats.org/officeDocument/2006/relationships/hyperlink" Target="https://www.statmuse.com/mlb/team/chicago-cubs-franchise-2/history" TargetMode="External"/><Relationship Id="rId17" Type="http://schemas.openxmlformats.org/officeDocument/2006/relationships/hyperlink" Target="https://www.statmuse.com/mlb/team/new-york-mets-franchise-88/history" TargetMode="External"/><Relationship Id="rId25" Type="http://schemas.openxmlformats.org/officeDocument/2006/relationships/hyperlink" Target="https://www.statmuse.com/mlb/team/minnesota-twins-franchise-75/history" TargetMode="External"/><Relationship Id="rId2" Type="http://schemas.openxmlformats.org/officeDocument/2006/relationships/hyperlink" Target="https://www.statmuse.com/mlb/team/houston-astros-franchise-87/history" TargetMode="External"/><Relationship Id="rId16" Type="http://schemas.openxmlformats.org/officeDocument/2006/relationships/hyperlink" Target="https://www.statmuse.com/mlb/team/washington-nationals-franchise-90/history" TargetMode="External"/><Relationship Id="rId20" Type="http://schemas.openxmlformats.org/officeDocument/2006/relationships/hyperlink" Target="https://www.statmuse.com/mlb/team/arizona-diamondbacks-franchise-97/history" TargetMode="External"/><Relationship Id="rId1" Type="http://schemas.openxmlformats.org/officeDocument/2006/relationships/hyperlink" Target="https://www.statmuse.com/mlb/team/los-angeles-dodgers-franchise-31/history" TargetMode="External"/><Relationship Id="rId6" Type="http://schemas.openxmlformats.org/officeDocument/2006/relationships/hyperlink" Target="https://www.statmuse.com/mlb/team/texas-rangers-franchise-86/history" TargetMode="External"/><Relationship Id="rId11" Type="http://schemas.openxmlformats.org/officeDocument/2006/relationships/hyperlink" Target="https://www.statmuse.com/mlb/team/detroit-tigers-franchise-72/history" TargetMode="External"/><Relationship Id="rId24" Type="http://schemas.openxmlformats.org/officeDocument/2006/relationships/hyperlink" Target="https://www.statmuse.com/mlb/team/pittsburgh-pirates-franchise-22/history" TargetMode="External"/><Relationship Id="rId5" Type="http://schemas.openxmlformats.org/officeDocument/2006/relationships/hyperlink" Target="https://www.statmuse.com/mlb/team/st-louis-cardinals-franchise-67/history" TargetMode="External"/><Relationship Id="rId15" Type="http://schemas.openxmlformats.org/officeDocument/2006/relationships/hyperlink" Target="https://www.statmuse.com/mlb/team/tampa-bay-rays-franchise-98/history" TargetMode="External"/><Relationship Id="rId23" Type="http://schemas.openxmlformats.org/officeDocument/2006/relationships/hyperlink" Target="https://www.statmuse.com/mlb/team/baltimore-orioles-franchise-73/history" TargetMode="External"/><Relationship Id="rId10" Type="http://schemas.openxmlformats.org/officeDocument/2006/relationships/hyperlink" Target="https://www.statmuse.com/mlb/team/kansas-city-royals-franchise-89/history" TargetMode="External"/><Relationship Id="rId19" Type="http://schemas.openxmlformats.org/officeDocument/2006/relationships/hyperlink" Target="https://www.statmuse.com/mlb/team/san-diego-padres-franchise-91/history" TargetMode="External"/><Relationship Id="rId4" Type="http://schemas.openxmlformats.org/officeDocument/2006/relationships/hyperlink" Target="https://www.statmuse.com/mlb/team/san-francisco-giants-franchise-25/history" TargetMode="External"/><Relationship Id="rId9" Type="http://schemas.openxmlformats.org/officeDocument/2006/relationships/hyperlink" Target="https://www.statmuse.com/mlb/team/atlanta-braves-franchise-1/history" TargetMode="External"/><Relationship Id="rId14" Type="http://schemas.openxmlformats.org/officeDocument/2006/relationships/hyperlink" Target="https://www.statmuse.com/mlb/team/toronto-blue-jays-franchise-94/history" TargetMode="External"/><Relationship Id="rId22" Type="http://schemas.openxmlformats.org/officeDocument/2006/relationships/hyperlink" Target="https://www.statmuse.com/mlb/team/athletics-franchise-74/history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1E205-0DB8-0944-B733-837A1B8F8BBD}">
  <dimension ref="A1:I498"/>
  <sheetViews>
    <sheetView zoomScale="113" workbookViewId="0">
      <selection activeCell="B1" sqref="B1"/>
    </sheetView>
  </sheetViews>
  <sheetFormatPr baseColWidth="10" defaultRowHeight="16" x14ac:dyDescent="0.2"/>
  <cols>
    <col min="2" max="2" width="35.5" bestFit="1" customWidth="1"/>
    <col min="4" max="7" width="14.83203125" bestFit="1" customWidth="1"/>
    <col min="8" max="9" width="13.6640625" bestFit="1" customWidth="1"/>
    <col min="12" max="12" width="14.33203125" bestFit="1" customWidth="1"/>
  </cols>
  <sheetData>
    <row r="1" spans="1:9" ht="24" x14ac:dyDescent="0.3">
      <c r="A1" s="12" t="s">
        <v>70</v>
      </c>
      <c r="B1" s="12" t="s">
        <v>120</v>
      </c>
    </row>
    <row r="2" spans="1:9" x14ac:dyDescent="0.2">
      <c r="A2" s="13" t="s">
        <v>0</v>
      </c>
      <c r="B2" s="14">
        <v>229894653.40000001</v>
      </c>
    </row>
    <row r="3" spans="1:9" x14ac:dyDescent="0.2">
      <c r="A3" s="13" t="s">
        <v>5</v>
      </c>
      <c r="B3" s="14">
        <v>209023728.25</v>
      </c>
    </row>
    <row r="4" spans="1:9" x14ac:dyDescent="0.2">
      <c r="A4" s="13" t="s">
        <v>12</v>
      </c>
      <c r="B4" s="14">
        <v>188257976.07142857</v>
      </c>
    </row>
    <row r="5" spans="1:9" x14ac:dyDescent="0.2">
      <c r="A5" s="13" t="s">
        <v>3</v>
      </c>
      <c r="B5" s="14">
        <v>180637794.13333333</v>
      </c>
    </row>
    <row r="6" spans="1:9" x14ac:dyDescent="0.2">
      <c r="A6" s="13" t="s">
        <v>6</v>
      </c>
      <c r="B6" s="14">
        <v>172716183.06666666</v>
      </c>
    </row>
    <row r="7" spans="1:9" ht="17" customHeight="1" x14ac:dyDescent="0.2">
      <c r="A7" s="13" t="s">
        <v>11</v>
      </c>
      <c r="B7" s="14">
        <v>165348328</v>
      </c>
    </row>
    <row r="8" spans="1:9" hidden="1" x14ac:dyDescent="0.2">
      <c r="A8" s="15" t="s">
        <v>69</v>
      </c>
      <c r="B8" s="15" t="s">
        <v>70</v>
      </c>
      <c r="C8" t="s">
        <v>71</v>
      </c>
      <c r="D8" t="s">
        <v>72</v>
      </c>
      <c r="E8" t="s">
        <v>83</v>
      </c>
      <c r="F8" t="s">
        <v>73</v>
      </c>
    </row>
    <row r="9" spans="1:9" ht="17" hidden="1" x14ac:dyDescent="0.2">
      <c r="A9" s="16">
        <v>20</v>
      </c>
      <c r="B9" s="13" t="s">
        <v>14</v>
      </c>
      <c r="C9" s="1" t="s">
        <v>45</v>
      </c>
      <c r="D9" s="1">
        <v>27.4</v>
      </c>
      <c r="E9" s="3">
        <v>177424443</v>
      </c>
      <c r="F9" s="3">
        <v>68710886</v>
      </c>
      <c r="G9" s="4">
        <v>55771644</v>
      </c>
      <c r="H9" s="4">
        <v>1500000</v>
      </c>
      <c r="I9" s="4">
        <v>2303444</v>
      </c>
    </row>
    <row r="10" spans="1:9" ht="17" hidden="1" x14ac:dyDescent="0.2">
      <c r="A10" s="16">
        <v>10</v>
      </c>
      <c r="B10" s="13" t="s">
        <v>14</v>
      </c>
      <c r="C10" s="1" t="s">
        <v>39</v>
      </c>
      <c r="D10" s="1">
        <v>28.9</v>
      </c>
      <c r="E10" s="3">
        <v>178427194</v>
      </c>
      <c r="F10" s="3">
        <v>134502970</v>
      </c>
      <c r="G10" s="4">
        <v>9600600</v>
      </c>
      <c r="H10" s="4">
        <v>7881888</v>
      </c>
      <c r="I10" s="4">
        <v>3160737</v>
      </c>
    </row>
    <row r="11" spans="1:9" ht="17" hidden="1" x14ac:dyDescent="0.2">
      <c r="A11" s="16">
        <v>21</v>
      </c>
      <c r="B11" s="13" t="s">
        <v>14</v>
      </c>
      <c r="C11" s="1" t="s">
        <v>77</v>
      </c>
      <c r="D11" s="1">
        <v>27.6</v>
      </c>
      <c r="E11" s="3">
        <v>119296377</v>
      </c>
      <c r="F11" s="3">
        <v>60271739</v>
      </c>
      <c r="G11" s="4">
        <v>11201665</v>
      </c>
      <c r="H11" s="1" t="s">
        <v>1</v>
      </c>
      <c r="I11" s="4">
        <v>8620444</v>
      </c>
    </row>
    <row r="12" spans="1:9" ht="17" hidden="1" x14ac:dyDescent="0.2">
      <c r="A12" s="16">
        <v>24</v>
      </c>
      <c r="B12" s="13" t="s">
        <v>14</v>
      </c>
      <c r="C12" s="1" t="s">
        <v>58</v>
      </c>
      <c r="D12" s="1">
        <v>27.8</v>
      </c>
      <c r="E12" s="3">
        <v>85966193</v>
      </c>
      <c r="F12" s="3">
        <v>53178906</v>
      </c>
      <c r="G12" s="4">
        <v>19224958</v>
      </c>
      <c r="H12" s="4">
        <v>500000</v>
      </c>
      <c r="I12" s="4">
        <v>3328922</v>
      </c>
    </row>
    <row r="13" spans="1:9" ht="17" hidden="1" x14ac:dyDescent="0.2">
      <c r="A13" s="16">
        <v>19</v>
      </c>
      <c r="B13" s="13" t="s">
        <v>14</v>
      </c>
      <c r="C13" s="1" t="s">
        <v>91</v>
      </c>
      <c r="D13" s="1">
        <v>27.5</v>
      </c>
      <c r="E13" s="3">
        <v>91636935</v>
      </c>
      <c r="F13" s="3">
        <v>54233884</v>
      </c>
      <c r="G13" s="4">
        <v>8694478</v>
      </c>
      <c r="H13" s="4">
        <v>2500000</v>
      </c>
      <c r="I13" s="4">
        <v>2840361</v>
      </c>
    </row>
    <row r="14" spans="1:9" ht="17" hidden="1" x14ac:dyDescent="0.2">
      <c r="A14" s="16">
        <v>27</v>
      </c>
      <c r="B14" s="13" t="s">
        <v>14</v>
      </c>
      <c r="C14" s="1" t="s">
        <v>110</v>
      </c>
      <c r="D14" s="1">
        <v>28.1</v>
      </c>
      <c r="E14" s="3">
        <v>65601868</v>
      </c>
      <c r="F14" s="3">
        <v>20286813</v>
      </c>
      <c r="G14" s="4">
        <v>1589593</v>
      </c>
      <c r="H14" s="4">
        <v>5600000</v>
      </c>
      <c r="I14" s="4">
        <v>500312</v>
      </c>
    </row>
    <row r="15" spans="1:9" ht="17" hidden="1" x14ac:dyDescent="0.2">
      <c r="A15" s="16">
        <v>26</v>
      </c>
      <c r="B15" s="13" t="s">
        <v>14</v>
      </c>
      <c r="C15" s="1" t="s">
        <v>59</v>
      </c>
      <c r="D15" s="1">
        <v>27.8</v>
      </c>
      <c r="E15" s="3">
        <v>119327905</v>
      </c>
      <c r="F15" s="3">
        <v>65040742</v>
      </c>
      <c r="G15" s="4">
        <v>11699600</v>
      </c>
      <c r="H15" s="4">
        <v>550000</v>
      </c>
      <c r="I15" s="4">
        <v>16279980</v>
      </c>
    </row>
    <row r="16" spans="1:9" ht="17" hidden="1" x14ac:dyDescent="0.2">
      <c r="A16" s="16">
        <v>12</v>
      </c>
      <c r="B16" s="13" t="s">
        <v>14</v>
      </c>
      <c r="C16" s="1" t="s">
        <v>117</v>
      </c>
      <c r="D16" s="1">
        <v>28.9</v>
      </c>
      <c r="E16" s="3">
        <v>141724597</v>
      </c>
      <c r="F16" s="3">
        <v>107901628</v>
      </c>
      <c r="G16" s="4">
        <v>14124025</v>
      </c>
      <c r="H16" s="4">
        <v>314516</v>
      </c>
      <c r="I16" s="4">
        <v>14068359</v>
      </c>
    </row>
    <row r="17" spans="1:9" ht="17" hidden="1" x14ac:dyDescent="0.2">
      <c r="A17" s="16">
        <v>19</v>
      </c>
      <c r="B17" s="13" t="s">
        <v>14</v>
      </c>
      <c r="C17" s="1" t="s">
        <v>117</v>
      </c>
      <c r="D17" s="1">
        <v>28.3</v>
      </c>
      <c r="E17" s="3">
        <v>102619475</v>
      </c>
      <c r="F17" s="3">
        <v>81644775</v>
      </c>
      <c r="G17" s="4">
        <v>19379200</v>
      </c>
      <c r="H17" s="4">
        <v>150000</v>
      </c>
      <c r="I17" s="4">
        <v>23384</v>
      </c>
    </row>
    <row r="18" spans="1:9" ht="17" hidden="1" x14ac:dyDescent="0.2">
      <c r="A18" s="16">
        <v>18</v>
      </c>
      <c r="B18" s="13" t="s">
        <v>14</v>
      </c>
      <c r="C18" s="1" t="s">
        <v>117</v>
      </c>
      <c r="D18" s="1">
        <v>26</v>
      </c>
      <c r="E18" s="3">
        <v>97874482</v>
      </c>
      <c r="F18" s="3">
        <v>78823003</v>
      </c>
      <c r="G18" s="4">
        <v>1051200</v>
      </c>
      <c r="H18" s="4">
        <v>3071443</v>
      </c>
      <c r="I18" s="4">
        <v>545188</v>
      </c>
    </row>
    <row r="19" spans="1:9" ht="17" hidden="1" x14ac:dyDescent="0.2">
      <c r="A19" s="16">
        <v>28</v>
      </c>
      <c r="B19" s="13" t="s">
        <v>14</v>
      </c>
      <c r="C19" s="1" t="s">
        <v>117</v>
      </c>
      <c r="D19" s="1">
        <v>26</v>
      </c>
      <c r="E19" s="3">
        <v>76781801</v>
      </c>
      <c r="F19" s="3">
        <v>45142733</v>
      </c>
      <c r="G19" s="4">
        <v>1026500</v>
      </c>
      <c r="H19" s="4">
        <v>30465028</v>
      </c>
      <c r="I19" s="4">
        <v>147540</v>
      </c>
    </row>
    <row r="20" spans="1:9" ht="17" hidden="1" x14ac:dyDescent="0.2">
      <c r="A20" s="16">
        <v>23</v>
      </c>
      <c r="B20" s="13" t="s">
        <v>14</v>
      </c>
      <c r="C20" s="1" t="s">
        <v>117</v>
      </c>
      <c r="D20" s="1">
        <v>27</v>
      </c>
      <c r="E20" s="3">
        <v>106343190</v>
      </c>
      <c r="F20" s="3">
        <v>68375588</v>
      </c>
      <c r="G20" s="4">
        <v>9500000</v>
      </c>
      <c r="H20" s="4">
        <v>18025819</v>
      </c>
      <c r="I20" s="4">
        <v>333330</v>
      </c>
    </row>
    <row r="21" spans="1:9" ht="17" hidden="1" x14ac:dyDescent="0.2">
      <c r="A21" s="16">
        <v>17</v>
      </c>
      <c r="B21" s="13" t="s">
        <v>14</v>
      </c>
      <c r="C21" s="1" t="s">
        <v>117</v>
      </c>
      <c r="D21" s="1">
        <v>28.2</v>
      </c>
      <c r="E21" s="3">
        <v>88316478</v>
      </c>
      <c r="F21" s="3">
        <v>78126043</v>
      </c>
      <c r="G21" s="1" t="s">
        <v>1</v>
      </c>
      <c r="H21" s="4">
        <v>1607377</v>
      </c>
      <c r="I21" s="4">
        <v>273686</v>
      </c>
    </row>
    <row r="22" spans="1:9" ht="17" hidden="1" x14ac:dyDescent="0.2">
      <c r="A22" s="16">
        <v>22</v>
      </c>
      <c r="B22" s="13" t="s">
        <v>14</v>
      </c>
      <c r="C22" s="1" t="s">
        <v>117</v>
      </c>
      <c r="D22" s="1">
        <v>28.6</v>
      </c>
      <c r="E22" s="3">
        <v>80711013</v>
      </c>
      <c r="F22" s="3">
        <v>74074400</v>
      </c>
      <c r="G22" s="1" t="s">
        <v>1</v>
      </c>
      <c r="H22" s="4">
        <v>750000</v>
      </c>
      <c r="I22" s="1" t="s">
        <v>1</v>
      </c>
    </row>
    <row r="23" spans="1:9" ht="17" hidden="1" x14ac:dyDescent="0.2">
      <c r="A23" s="16">
        <v>24</v>
      </c>
      <c r="B23" s="13" t="s">
        <v>14</v>
      </c>
      <c r="C23" s="1" t="s">
        <v>117</v>
      </c>
      <c r="D23" s="1">
        <v>28.5</v>
      </c>
      <c r="E23" s="3">
        <v>64297970</v>
      </c>
      <c r="F23" s="3">
        <v>56498519</v>
      </c>
      <c r="G23" s="1" t="s">
        <v>1</v>
      </c>
      <c r="H23" s="4">
        <v>1882500</v>
      </c>
      <c r="I23" s="4">
        <v>900000</v>
      </c>
    </row>
    <row r="24" spans="1:9" ht="17" hidden="1" x14ac:dyDescent="0.2">
      <c r="A24" s="16">
        <v>25</v>
      </c>
      <c r="B24" s="13" t="s">
        <v>21</v>
      </c>
      <c r="C24" s="1" t="s">
        <v>40</v>
      </c>
      <c r="D24" s="1">
        <v>26.9</v>
      </c>
      <c r="E24" s="3">
        <v>78384241</v>
      </c>
      <c r="F24" s="3">
        <v>49340255</v>
      </c>
      <c r="G24" s="4">
        <v>15933681</v>
      </c>
      <c r="H24" s="1" t="s">
        <v>1</v>
      </c>
      <c r="I24" s="4">
        <v>941654</v>
      </c>
    </row>
    <row r="25" spans="1:9" ht="17" hidden="1" x14ac:dyDescent="0.2">
      <c r="A25" s="16">
        <v>11</v>
      </c>
      <c r="B25" s="13" t="s">
        <v>2</v>
      </c>
      <c r="C25" s="1" t="s">
        <v>40</v>
      </c>
      <c r="D25" s="1">
        <v>29.5</v>
      </c>
      <c r="E25" s="3">
        <v>220223651</v>
      </c>
      <c r="F25" s="3">
        <v>128648209</v>
      </c>
      <c r="G25" s="4">
        <v>68078413</v>
      </c>
      <c r="H25" s="4">
        <v>3500000</v>
      </c>
      <c r="I25" s="4">
        <v>11733626</v>
      </c>
    </row>
    <row r="26" spans="1:9" ht="17" hidden="1" x14ac:dyDescent="0.2">
      <c r="A26" s="16">
        <v>7</v>
      </c>
      <c r="B26" s="13" t="s">
        <v>2</v>
      </c>
      <c r="C26" s="1" t="s">
        <v>39</v>
      </c>
      <c r="D26" s="1">
        <v>30.9</v>
      </c>
      <c r="E26" s="3">
        <v>238108491</v>
      </c>
      <c r="F26" s="3">
        <v>156354098</v>
      </c>
      <c r="G26" s="4">
        <v>47028814</v>
      </c>
      <c r="H26" s="4">
        <v>5052328</v>
      </c>
      <c r="I26" s="4">
        <v>8296387</v>
      </c>
    </row>
    <row r="27" spans="1:9" ht="17" hidden="1" x14ac:dyDescent="0.2">
      <c r="A27" s="16">
        <v>6</v>
      </c>
      <c r="B27" s="13" t="s">
        <v>2</v>
      </c>
      <c r="C27" s="1" t="s">
        <v>74</v>
      </c>
      <c r="D27" s="1">
        <v>28.5</v>
      </c>
      <c r="E27" s="3">
        <v>206424932</v>
      </c>
      <c r="F27" s="3">
        <v>158306501</v>
      </c>
      <c r="G27" s="4">
        <v>34160535</v>
      </c>
      <c r="H27" s="1" t="s">
        <v>1</v>
      </c>
      <c r="I27" s="4">
        <v>2510008</v>
      </c>
    </row>
    <row r="28" spans="1:9" ht="17" hidden="1" x14ac:dyDescent="0.2">
      <c r="A28" s="16">
        <v>8</v>
      </c>
      <c r="B28" s="13" t="s">
        <v>2</v>
      </c>
      <c r="C28" s="1" t="s">
        <v>79</v>
      </c>
      <c r="D28" s="1">
        <v>29</v>
      </c>
      <c r="E28" s="3">
        <v>179935585</v>
      </c>
      <c r="F28" s="3">
        <v>143630429</v>
      </c>
      <c r="G28" s="4">
        <v>20918726</v>
      </c>
      <c r="H28" s="4">
        <v>1025000</v>
      </c>
      <c r="I28" s="4">
        <v>4675476</v>
      </c>
    </row>
    <row r="29" spans="1:9" ht="17" hidden="1" x14ac:dyDescent="0.2">
      <c r="A29" s="16">
        <v>11</v>
      </c>
      <c r="B29" s="13" t="s">
        <v>2</v>
      </c>
      <c r="C29" s="1" t="s">
        <v>57</v>
      </c>
      <c r="D29" s="1">
        <v>28.2</v>
      </c>
      <c r="E29" s="3">
        <v>152753755</v>
      </c>
      <c r="F29" s="3">
        <v>115354620</v>
      </c>
      <c r="G29" s="4">
        <v>3301950</v>
      </c>
      <c r="H29" s="4">
        <v>14566935</v>
      </c>
      <c r="I29" s="4">
        <v>2956717</v>
      </c>
    </row>
    <row r="30" spans="1:9" ht="17" hidden="1" x14ac:dyDescent="0.2">
      <c r="A30" s="16">
        <v>10</v>
      </c>
      <c r="B30" s="13" t="s">
        <v>2</v>
      </c>
      <c r="C30" s="1" t="s">
        <v>102</v>
      </c>
      <c r="D30" s="1">
        <v>29.1</v>
      </c>
      <c r="E30" s="3">
        <v>63561931</v>
      </c>
      <c r="F30" s="3">
        <v>50458292</v>
      </c>
      <c r="G30" s="4">
        <v>7255497</v>
      </c>
      <c r="H30" s="4">
        <v>500000</v>
      </c>
      <c r="I30" s="4">
        <v>3847858</v>
      </c>
    </row>
    <row r="31" spans="1:9" ht="17" hidden="1" x14ac:dyDescent="0.2">
      <c r="A31" s="16">
        <v>11</v>
      </c>
      <c r="B31" s="13" t="s">
        <v>2</v>
      </c>
      <c r="C31" s="1" t="s">
        <v>43</v>
      </c>
      <c r="D31" s="1">
        <v>28.7</v>
      </c>
      <c r="E31" s="3">
        <v>143947963</v>
      </c>
      <c r="F31" s="3">
        <v>117758736</v>
      </c>
      <c r="G31" s="4">
        <v>8328689</v>
      </c>
      <c r="H31" s="4">
        <v>6000000</v>
      </c>
      <c r="I31" s="4">
        <v>68632</v>
      </c>
    </row>
    <row r="32" spans="1:9" ht="17" hidden="1" x14ac:dyDescent="0.2">
      <c r="A32" s="16">
        <v>21</v>
      </c>
      <c r="B32" s="13" t="s">
        <v>2</v>
      </c>
      <c r="C32" s="1" t="s">
        <v>117</v>
      </c>
      <c r="D32" s="1">
        <v>27.1</v>
      </c>
      <c r="E32" s="3">
        <v>130852350</v>
      </c>
      <c r="F32" s="3">
        <v>73767565</v>
      </c>
      <c r="G32" s="4">
        <v>13299094</v>
      </c>
      <c r="H32" s="4">
        <v>19166668</v>
      </c>
      <c r="I32" s="4">
        <v>1392736</v>
      </c>
    </row>
    <row r="33" spans="1:9" ht="17" hidden="1" x14ac:dyDescent="0.2">
      <c r="A33" s="16">
        <v>18</v>
      </c>
      <c r="B33" s="13" t="s">
        <v>2</v>
      </c>
      <c r="C33" s="1" t="s">
        <v>117</v>
      </c>
      <c r="D33" s="1">
        <v>27.5</v>
      </c>
      <c r="E33" s="3">
        <v>106468575</v>
      </c>
      <c r="F33" s="3">
        <v>81963434</v>
      </c>
      <c r="G33" s="4">
        <v>1997766</v>
      </c>
      <c r="H33" s="1" t="s">
        <v>1</v>
      </c>
      <c r="I33" s="4">
        <v>1469392</v>
      </c>
    </row>
    <row r="34" spans="1:9" ht="17" hidden="1" x14ac:dyDescent="0.2">
      <c r="A34" s="16">
        <v>27</v>
      </c>
      <c r="B34" s="13" t="s">
        <v>2</v>
      </c>
      <c r="C34" s="1" t="s">
        <v>117</v>
      </c>
      <c r="D34" s="1">
        <v>26.7</v>
      </c>
      <c r="E34" s="3">
        <v>95839382</v>
      </c>
      <c r="F34" s="3">
        <v>46676093</v>
      </c>
      <c r="G34" s="4">
        <v>8116832</v>
      </c>
      <c r="H34" s="4">
        <v>19283609</v>
      </c>
      <c r="I34" s="4">
        <v>305280</v>
      </c>
    </row>
    <row r="35" spans="1:9" ht="17" hidden="1" x14ac:dyDescent="0.2">
      <c r="A35" s="16">
        <v>24</v>
      </c>
      <c r="B35" s="13" t="s">
        <v>2</v>
      </c>
      <c r="C35" s="1" t="s">
        <v>117</v>
      </c>
      <c r="D35" s="1">
        <v>26.9</v>
      </c>
      <c r="E35" s="3">
        <v>110777379</v>
      </c>
      <c r="F35" s="3">
        <v>54961789</v>
      </c>
      <c r="G35" s="4">
        <v>11263899</v>
      </c>
      <c r="H35" s="4">
        <v>44307649</v>
      </c>
      <c r="I35" s="4">
        <v>244042</v>
      </c>
    </row>
    <row r="36" spans="1:9" ht="17" hidden="1" x14ac:dyDescent="0.2">
      <c r="A36" s="16">
        <v>13</v>
      </c>
      <c r="B36" s="13" t="s">
        <v>2</v>
      </c>
      <c r="C36" s="1" t="s">
        <v>117</v>
      </c>
      <c r="D36" s="1">
        <v>27</v>
      </c>
      <c r="E36" s="3">
        <v>116865707</v>
      </c>
      <c r="F36" s="3">
        <v>102713304</v>
      </c>
      <c r="G36" s="1" t="s">
        <v>1</v>
      </c>
      <c r="H36" s="4">
        <v>13350000</v>
      </c>
      <c r="I36" s="4">
        <v>51911</v>
      </c>
    </row>
    <row r="37" spans="1:9" ht="17" hidden="1" x14ac:dyDescent="0.2">
      <c r="A37" s="16">
        <v>14</v>
      </c>
      <c r="B37" s="13" t="s">
        <v>2</v>
      </c>
      <c r="C37" s="1" t="s">
        <v>117</v>
      </c>
      <c r="D37" s="1">
        <v>27.7</v>
      </c>
      <c r="E37" s="3">
        <v>94947950</v>
      </c>
      <c r="F37" s="3">
        <v>94401592</v>
      </c>
      <c r="G37" s="1" t="s">
        <v>1</v>
      </c>
      <c r="H37" s="1" t="s">
        <v>1</v>
      </c>
      <c r="I37" s="4">
        <v>343386</v>
      </c>
    </row>
    <row r="38" spans="1:9" s="9" customFormat="1" ht="17" hidden="1" x14ac:dyDescent="0.2">
      <c r="A38" s="16">
        <v>17</v>
      </c>
      <c r="B38" s="13" t="s">
        <v>2</v>
      </c>
      <c r="C38" s="1" t="s">
        <v>117</v>
      </c>
      <c r="D38" s="1">
        <v>28.4</v>
      </c>
      <c r="E38" s="3">
        <v>97928056</v>
      </c>
      <c r="F38" s="3">
        <v>86492616</v>
      </c>
      <c r="G38" s="1" t="s">
        <v>1</v>
      </c>
      <c r="H38" s="4">
        <v>11435440</v>
      </c>
      <c r="I38" s="1" t="s">
        <v>1</v>
      </c>
    </row>
    <row r="39" spans="1:9" ht="17" hidden="1" x14ac:dyDescent="0.2">
      <c r="A39" s="16">
        <v>13</v>
      </c>
      <c r="B39" s="13" t="s">
        <v>2</v>
      </c>
      <c r="C39" s="1" t="s">
        <v>117</v>
      </c>
      <c r="D39" s="1">
        <v>28.7</v>
      </c>
      <c r="E39" s="3">
        <v>98344460</v>
      </c>
      <c r="F39" s="3">
        <v>97919860</v>
      </c>
      <c r="G39" s="1" t="s">
        <v>1</v>
      </c>
      <c r="H39" s="4">
        <v>424600</v>
      </c>
      <c r="I39" s="1" t="s">
        <v>1</v>
      </c>
    </row>
    <row r="40" spans="1:9" ht="17" hidden="1" x14ac:dyDescent="0.2">
      <c r="A40" s="16">
        <v>21</v>
      </c>
      <c r="B40" s="13" t="s">
        <v>24</v>
      </c>
      <c r="C40" s="1" t="s">
        <v>46</v>
      </c>
      <c r="D40" s="1">
        <v>27.3</v>
      </c>
      <c r="E40" s="3">
        <v>158571377</v>
      </c>
      <c r="F40" s="3">
        <v>64226457</v>
      </c>
      <c r="G40" s="4">
        <v>29850106</v>
      </c>
      <c r="H40" s="1" t="s">
        <v>1</v>
      </c>
      <c r="I40" s="4">
        <v>6713671</v>
      </c>
    </row>
    <row r="41" spans="1:9" ht="17" hidden="1" x14ac:dyDescent="0.2">
      <c r="A41" s="16">
        <v>21</v>
      </c>
      <c r="B41" s="13" t="s">
        <v>24</v>
      </c>
      <c r="C41" s="1" t="s">
        <v>63</v>
      </c>
      <c r="D41" s="1">
        <v>28.4</v>
      </c>
      <c r="E41" s="3">
        <v>111309008</v>
      </c>
      <c r="F41" s="3">
        <v>65998661</v>
      </c>
      <c r="G41" s="4">
        <v>10808540</v>
      </c>
      <c r="H41" s="4">
        <v>5100000</v>
      </c>
      <c r="I41" s="4">
        <v>2351725</v>
      </c>
    </row>
    <row r="42" spans="1:9" ht="17" hidden="1" x14ac:dyDescent="0.2">
      <c r="A42" s="16">
        <v>24</v>
      </c>
      <c r="B42" s="13" t="s">
        <v>24</v>
      </c>
      <c r="C42" s="1" t="s">
        <v>79</v>
      </c>
      <c r="D42" s="1">
        <v>28</v>
      </c>
      <c r="E42" s="3">
        <v>71064917</v>
      </c>
      <c r="F42" s="3">
        <v>53163604</v>
      </c>
      <c r="G42" s="4">
        <v>3179476</v>
      </c>
      <c r="H42" s="1" t="s">
        <v>1</v>
      </c>
      <c r="I42" s="4">
        <v>4860104</v>
      </c>
    </row>
    <row r="43" spans="1:9" ht="17" hidden="1" x14ac:dyDescent="0.2">
      <c r="A43" s="16">
        <v>28</v>
      </c>
      <c r="B43" s="13" t="s">
        <v>24</v>
      </c>
      <c r="C43" s="1" t="s">
        <v>32</v>
      </c>
      <c r="D43" s="1">
        <v>27.1</v>
      </c>
      <c r="E43" s="3">
        <v>44888388</v>
      </c>
      <c r="F43" s="3">
        <v>25488146</v>
      </c>
      <c r="G43" s="4">
        <v>2759974</v>
      </c>
      <c r="H43" s="4">
        <v>1000000</v>
      </c>
      <c r="I43" s="4">
        <v>3381808</v>
      </c>
    </row>
    <row r="44" spans="1:9" ht="17" hidden="1" x14ac:dyDescent="0.2">
      <c r="A44" s="16">
        <v>30</v>
      </c>
      <c r="B44" s="13" t="s">
        <v>24</v>
      </c>
      <c r="C44" s="1" t="s">
        <v>91</v>
      </c>
      <c r="D44" s="1">
        <v>26.8</v>
      </c>
      <c r="E44" s="3">
        <v>42421870</v>
      </c>
      <c r="F44" s="3">
        <v>13838690</v>
      </c>
      <c r="G44" s="4">
        <v>7682535</v>
      </c>
      <c r="H44" s="1" t="s">
        <v>1</v>
      </c>
      <c r="I44" s="4">
        <v>1855026</v>
      </c>
    </row>
    <row r="45" spans="1:9" ht="17" hidden="1" x14ac:dyDescent="0.2">
      <c r="A45" s="16">
        <v>30</v>
      </c>
      <c r="B45" s="13" t="s">
        <v>24</v>
      </c>
      <c r="C45" s="1" t="s">
        <v>110</v>
      </c>
      <c r="D45" s="1">
        <v>27</v>
      </c>
      <c r="E45" s="3">
        <v>23478635</v>
      </c>
      <c r="F45" s="3">
        <v>10252278</v>
      </c>
      <c r="G45" s="4">
        <v>11102531</v>
      </c>
      <c r="H45" s="1" t="s">
        <v>1</v>
      </c>
      <c r="I45" s="4">
        <v>562935</v>
      </c>
    </row>
    <row r="46" spans="1:9" ht="17" hidden="1" x14ac:dyDescent="0.2">
      <c r="A46" s="16">
        <v>28</v>
      </c>
      <c r="B46" s="13" t="s">
        <v>24</v>
      </c>
      <c r="C46" s="1" t="s">
        <v>116</v>
      </c>
      <c r="D46" s="1">
        <v>26.5</v>
      </c>
      <c r="E46" s="3">
        <v>73328658</v>
      </c>
      <c r="F46" s="3">
        <v>52804601</v>
      </c>
      <c r="G46" s="4">
        <v>9822272</v>
      </c>
      <c r="H46" s="1" t="s">
        <v>1</v>
      </c>
      <c r="I46" s="4">
        <v>1815309</v>
      </c>
    </row>
    <row r="47" spans="1:9" ht="17" hidden="1" x14ac:dyDescent="0.2">
      <c r="A47" s="16">
        <v>22</v>
      </c>
      <c r="B47" s="13" t="s">
        <v>24</v>
      </c>
      <c r="C47" s="1" t="s">
        <v>117</v>
      </c>
      <c r="D47" s="1">
        <v>26.2</v>
      </c>
      <c r="E47" s="3">
        <v>130413607</v>
      </c>
      <c r="F47" s="3">
        <v>69637987</v>
      </c>
      <c r="G47" s="4">
        <v>12650000</v>
      </c>
      <c r="H47" s="4">
        <v>2500000</v>
      </c>
      <c r="I47" s="4">
        <v>1574640</v>
      </c>
    </row>
    <row r="48" spans="1:9" ht="17" hidden="1" x14ac:dyDescent="0.2">
      <c r="A48" s="16">
        <v>6</v>
      </c>
      <c r="B48" s="13" t="s">
        <v>24</v>
      </c>
      <c r="C48" s="1" t="s">
        <v>117</v>
      </c>
      <c r="D48" s="1">
        <v>27.9</v>
      </c>
      <c r="E48" s="3">
        <v>175254785</v>
      </c>
      <c r="F48" s="3">
        <v>163560704</v>
      </c>
      <c r="G48" s="1" t="s">
        <v>1</v>
      </c>
      <c r="H48" s="4">
        <v>108333</v>
      </c>
      <c r="I48" s="4">
        <v>4426913</v>
      </c>
    </row>
    <row r="49" spans="1:9" ht="17" hidden="1" x14ac:dyDescent="0.2">
      <c r="A49" s="16">
        <v>7</v>
      </c>
      <c r="B49" s="13" t="s">
        <v>24</v>
      </c>
      <c r="C49" s="1" t="s">
        <v>117</v>
      </c>
      <c r="D49" s="1">
        <v>28.5</v>
      </c>
      <c r="E49" s="3">
        <v>154148832</v>
      </c>
      <c r="F49" s="3">
        <v>148307663</v>
      </c>
      <c r="G49" s="4">
        <v>2650245</v>
      </c>
      <c r="H49" s="4">
        <v>1590764</v>
      </c>
      <c r="I49" s="4">
        <v>417751</v>
      </c>
    </row>
    <row r="50" spans="1:9" ht="17" hidden="1" x14ac:dyDescent="0.2">
      <c r="A50" s="16">
        <v>9</v>
      </c>
      <c r="B50" s="13" t="s">
        <v>24</v>
      </c>
      <c r="C50" s="1" t="s">
        <v>117</v>
      </c>
      <c r="D50" s="1">
        <v>27.6</v>
      </c>
      <c r="E50" s="3">
        <v>116400870</v>
      </c>
      <c r="F50" s="3">
        <v>108133315</v>
      </c>
      <c r="G50" s="4">
        <v>1245000</v>
      </c>
      <c r="H50" s="4">
        <v>6726584</v>
      </c>
      <c r="I50" s="4">
        <v>295971</v>
      </c>
    </row>
    <row r="51" spans="1:9" ht="17" hidden="1" x14ac:dyDescent="0.2">
      <c r="A51" s="16">
        <v>11</v>
      </c>
      <c r="B51" s="13" t="s">
        <v>24</v>
      </c>
      <c r="C51" s="1" t="s">
        <v>117</v>
      </c>
      <c r="D51" s="1">
        <v>28</v>
      </c>
      <c r="E51" s="3">
        <v>113562943</v>
      </c>
      <c r="F51" s="3">
        <v>108470318</v>
      </c>
      <c r="G51" s="1" t="s">
        <v>1</v>
      </c>
      <c r="H51" s="4">
        <v>2073909</v>
      </c>
      <c r="I51" s="4">
        <v>2809699</v>
      </c>
    </row>
    <row r="52" spans="1:9" ht="17" hidden="1" x14ac:dyDescent="0.2">
      <c r="A52" s="16">
        <v>12</v>
      </c>
      <c r="B52" s="13" t="s">
        <v>24</v>
      </c>
      <c r="C52" s="1" t="s">
        <v>117</v>
      </c>
      <c r="D52" s="1">
        <v>27.6</v>
      </c>
      <c r="E52" s="3">
        <v>100920869</v>
      </c>
      <c r="F52" s="3">
        <v>99656019</v>
      </c>
      <c r="G52" s="1" t="s">
        <v>1</v>
      </c>
      <c r="H52" s="4">
        <v>701692</v>
      </c>
      <c r="I52" s="4">
        <v>42841</v>
      </c>
    </row>
    <row r="53" spans="1:9" ht="17" hidden="1" x14ac:dyDescent="0.2">
      <c r="A53" s="16">
        <v>20</v>
      </c>
      <c r="B53" s="13" t="s">
        <v>24</v>
      </c>
      <c r="C53" s="1" t="s">
        <v>117</v>
      </c>
      <c r="D53" s="1">
        <v>27</v>
      </c>
      <c r="E53" s="3">
        <v>82932168</v>
      </c>
      <c r="F53" s="3">
        <v>80099381</v>
      </c>
      <c r="G53" s="1" t="s">
        <v>1</v>
      </c>
      <c r="H53" s="4">
        <v>2832787</v>
      </c>
      <c r="I53" s="1" t="s">
        <v>1</v>
      </c>
    </row>
    <row r="54" spans="1:9" ht="17" hidden="1" x14ac:dyDescent="0.2">
      <c r="A54" s="16">
        <v>16</v>
      </c>
      <c r="B54" s="13" t="s">
        <v>24</v>
      </c>
      <c r="C54" s="1" t="s">
        <v>117</v>
      </c>
      <c r="D54" s="1">
        <v>27.7</v>
      </c>
      <c r="E54" s="3">
        <v>90804322</v>
      </c>
      <c r="F54" s="3">
        <v>90444664</v>
      </c>
      <c r="G54" s="1" t="s">
        <v>1</v>
      </c>
      <c r="H54" s="1" t="s">
        <v>1</v>
      </c>
      <c r="I54" s="4">
        <v>359658</v>
      </c>
    </row>
    <row r="55" spans="1:9" ht="17" hidden="1" x14ac:dyDescent="0.2">
      <c r="A55" s="16">
        <v>10</v>
      </c>
      <c r="B55" s="13" t="s">
        <v>12</v>
      </c>
      <c r="C55" s="1" t="s">
        <v>39</v>
      </c>
      <c r="D55" s="1">
        <v>28.8</v>
      </c>
      <c r="E55" s="3">
        <v>203658855</v>
      </c>
      <c r="F55" s="3">
        <v>129032021</v>
      </c>
      <c r="G55" s="4">
        <v>31081338</v>
      </c>
      <c r="H55" s="4">
        <v>7360000</v>
      </c>
      <c r="I55" s="4">
        <v>3420669</v>
      </c>
    </row>
    <row r="56" spans="1:9" ht="17" hidden="1" x14ac:dyDescent="0.2">
      <c r="A56" s="16">
        <v>18</v>
      </c>
      <c r="B56" s="13" t="s">
        <v>12</v>
      </c>
      <c r="C56" s="1" t="s">
        <v>38</v>
      </c>
      <c r="D56" s="1">
        <v>27.5</v>
      </c>
      <c r="E56" s="3">
        <v>190176844</v>
      </c>
      <c r="F56" s="3">
        <v>77335266</v>
      </c>
      <c r="G56" s="4">
        <v>76400974</v>
      </c>
      <c r="H56" s="4">
        <v>1240000</v>
      </c>
      <c r="I56" s="4">
        <v>4695298</v>
      </c>
    </row>
    <row r="57" spans="1:9" ht="17" hidden="1" x14ac:dyDescent="0.2">
      <c r="A57" s="16">
        <v>11</v>
      </c>
      <c r="B57" s="13" t="s">
        <v>12</v>
      </c>
      <c r="C57" s="1" t="s">
        <v>42</v>
      </c>
      <c r="D57" s="1">
        <v>28.3</v>
      </c>
      <c r="E57" s="3">
        <v>182930664</v>
      </c>
      <c r="F57" s="3">
        <v>128067725</v>
      </c>
      <c r="G57" s="4">
        <v>28736341</v>
      </c>
      <c r="H57" s="4">
        <v>970000</v>
      </c>
      <c r="I57" s="4">
        <v>3682265</v>
      </c>
    </row>
    <row r="58" spans="1:9" ht="17" hidden="1" x14ac:dyDescent="0.2">
      <c r="A58" s="16">
        <v>12</v>
      </c>
      <c r="B58" s="13" t="s">
        <v>12</v>
      </c>
      <c r="C58" s="1" t="s">
        <v>42</v>
      </c>
      <c r="D58" s="1">
        <v>28.8</v>
      </c>
      <c r="E58" s="3">
        <v>211808993</v>
      </c>
      <c r="F58" s="3">
        <v>109766018</v>
      </c>
      <c r="G58" s="4">
        <v>50192677</v>
      </c>
      <c r="H58" s="4">
        <v>2500000</v>
      </c>
      <c r="I58" s="4">
        <v>3153778</v>
      </c>
    </row>
    <row r="59" spans="1:9" ht="17" hidden="1" x14ac:dyDescent="0.2">
      <c r="A59" s="16">
        <v>5</v>
      </c>
      <c r="B59" s="13" t="s">
        <v>12</v>
      </c>
      <c r="C59" s="1" t="s">
        <v>35</v>
      </c>
      <c r="D59" s="1">
        <v>29.1</v>
      </c>
      <c r="E59" s="3">
        <v>187100784</v>
      </c>
      <c r="F59" s="3">
        <v>141452731</v>
      </c>
      <c r="G59" s="4">
        <v>2832729</v>
      </c>
      <c r="H59" s="4">
        <v>5000000</v>
      </c>
      <c r="I59" s="4">
        <v>1440831</v>
      </c>
    </row>
    <row r="60" spans="1:9" ht="17" hidden="1" x14ac:dyDescent="0.2">
      <c r="A60" s="16">
        <v>16</v>
      </c>
      <c r="B60" s="13" t="s">
        <v>12</v>
      </c>
      <c r="C60" s="1" t="s">
        <v>104</v>
      </c>
      <c r="D60" s="1">
        <v>27.6</v>
      </c>
      <c r="E60" s="3">
        <v>84210390</v>
      </c>
      <c r="F60" s="3">
        <v>36071047</v>
      </c>
      <c r="G60" s="4">
        <v>16644224</v>
      </c>
      <c r="H60" s="4">
        <v>500000</v>
      </c>
      <c r="I60" s="4">
        <v>15719893</v>
      </c>
    </row>
    <row r="61" spans="1:9" ht="17" hidden="1" x14ac:dyDescent="0.2">
      <c r="A61" s="16">
        <v>3</v>
      </c>
      <c r="B61" s="13" t="s">
        <v>12</v>
      </c>
      <c r="C61" s="1" t="s">
        <v>77</v>
      </c>
      <c r="D61" s="1">
        <v>28.1</v>
      </c>
      <c r="E61" s="3">
        <v>229166880</v>
      </c>
      <c r="F61" s="3">
        <v>165856221</v>
      </c>
      <c r="G61" s="4">
        <v>37583783</v>
      </c>
      <c r="H61" s="1" t="s">
        <v>1</v>
      </c>
      <c r="I61" s="4">
        <v>394076</v>
      </c>
    </row>
    <row r="62" spans="1:9" ht="17" hidden="1" x14ac:dyDescent="0.2">
      <c r="A62" s="16">
        <v>1</v>
      </c>
      <c r="B62" s="13" t="s">
        <v>12</v>
      </c>
      <c r="C62" s="1" t="s">
        <v>117</v>
      </c>
      <c r="D62" s="1">
        <v>28.6</v>
      </c>
      <c r="E62" s="3">
        <v>227398860</v>
      </c>
      <c r="F62" s="3">
        <v>167955780</v>
      </c>
      <c r="G62" s="4">
        <v>18074000</v>
      </c>
      <c r="H62" s="4">
        <v>1000000</v>
      </c>
      <c r="I62" s="4">
        <v>158220</v>
      </c>
    </row>
    <row r="63" spans="1:9" ht="17" hidden="1" x14ac:dyDescent="0.2">
      <c r="A63" s="16">
        <v>2</v>
      </c>
      <c r="B63" s="13" t="s">
        <v>12</v>
      </c>
      <c r="C63" s="1" t="s">
        <v>117</v>
      </c>
      <c r="D63" s="1">
        <v>28.1</v>
      </c>
      <c r="E63" s="3">
        <v>209872508</v>
      </c>
      <c r="F63" s="3">
        <v>172158546</v>
      </c>
      <c r="G63" s="4">
        <v>5941108</v>
      </c>
      <c r="H63" s="4">
        <v>11800000</v>
      </c>
      <c r="I63" s="4">
        <v>1175380</v>
      </c>
    </row>
    <row r="64" spans="1:9" ht="17" hidden="1" x14ac:dyDescent="0.2">
      <c r="A64" s="16">
        <v>4</v>
      </c>
      <c r="B64" s="13" t="s">
        <v>12</v>
      </c>
      <c r="C64" s="1" t="s">
        <v>117</v>
      </c>
      <c r="D64" s="1">
        <v>28.5</v>
      </c>
      <c r="E64" s="3">
        <v>207758836</v>
      </c>
      <c r="F64" s="3">
        <v>165121274</v>
      </c>
      <c r="G64" s="4">
        <v>19567513</v>
      </c>
      <c r="H64" s="4">
        <v>372801</v>
      </c>
      <c r="I64" s="4">
        <v>20875101</v>
      </c>
    </row>
    <row r="65" spans="1:9" ht="17" hidden="1" x14ac:dyDescent="0.2">
      <c r="A65" s="16">
        <v>16</v>
      </c>
      <c r="B65" s="13" t="s">
        <v>12</v>
      </c>
      <c r="C65" s="1" t="s">
        <v>117</v>
      </c>
      <c r="D65" s="1">
        <v>27.2</v>
      </c>
      <c r="E65" s="3">
        <v>183481478</v>
      </c>
      <c r="F65" s="3">
        <v>95030446</v>
      </c>
      <c r="G65" s="4">
        <v>42985571</v>
      </c>
      <c r="H65" s="4">
        <v>43729277</v>
      </c>
      <c r="I65" s="4">
        <v>22184</v>
      </c>
    </row>
    <row r="66" spans="1:9" ht="17" hidden="1" x14ac:dyDescent="0.2">
      <c r="A66" s="16">
        <v>17</v>
      </c>
      <c r="B66" s="13" t="s">
        <v>12</v>
      </c>
      <c r="C66" s="1" t="s">
        <v>117</v>
      </c>
      <c r="D66" s="1">
        <v>27.7</v>
      </c>
      <c r="E66" s="3">
        <v>170095758</v>
      </c>
      <c r="F66" s="3">
        <v>95417971</v>
      </c>
      <c r="G66" s="1" t="s">
        <v>1</v>
      </c>
      <c r="H66" s="4">
        <v>26895062</v>
      </c>
      <c r="I66" s="4">
        <v>30054</v>
      </c>
    </row>
    <row r="67" spans="1:9" ht="18" hidden="1" customHeight="1" x14ac:dyDescent="0.2">
      <c r="A67" s="16">
        <v>3</v>
      </c>
      <c r="B67" s="13" t="s">
        <v>12</v>
      </c>
      <c r="C67" s="1" t="s">
        <v>117</v>
      </c>
      <c r="D67" s="1">
        <v>28.9</v>
      </c>
      <c r="E67" s="3">
        <v>174734264</v>
      </c>
      <c r="F67" s="3">
        <v>167018895</v>
      </c>
      <c r="G67" s="1" t="s">
        <v>1</v>
      </c>
      <c r="H67" s="4">
        <v>3370518</v>
      </c>
      <c r="I67" s="4">
        <v>2746393</v>
      </c>
    </row>
    <row r="68" spans="1:9" s="9" customFormat="1" ht="17" hidden="1" x14ac:dyDescent="0.2">
      <c r="A68" s="16">
        <v>3</v>
      </c>
      <c r="B68" s="13" t="s">
        <v>12</v>
      </c>
      <c r="C68" s="5" t="s">
        <v>117</v>
      </c>
      <c r="D68" s="5">
        <v>28.5</v>
      </c>
      <c r="E68" s="7">
        <v>173216551</v>
      </c>
      <c r="F68" s="7">
        <v>166392780</v>
      </c>
      <c r="G68" s="5" t="s">
        <v>1</v>
      </c>
      <c r="H68" s="5" t="s">
        <v>1</v>
      </c>
      <c r="I68" s="5" t="s">
        <v>1</v>
      </c>
    </row>
    <row r="69" spans="1:9" ht="17" hidden="1" x14ac:dyDescent="0.2">
      <c r="A69" s="16">
        <v>3</v>
      </c>
      <c r="B69" s="13" t="s">
        <v>12</v>
      </c>
      <c r="C69" s="1" t="s">
        <v>117</v>
      </c>
      <c r="D69" s="1">
        <v>28.9</v>
      </c>
      <c r="E69" s="3">
        <v>170490761</v>
      </c>
      <c r="F69" s="3">
        <v>162455090</v>
      </c>
      <c r="G69" s="1" t="s">
        <v>1</v>
      </c>
      <c r="H69" s="4">
        <v>699671</v>
      </c>
      <c r="I69" s="1" t="s">
        <v>1</v>
      </c>
    </row>
    <row r="70" spans="1:9" ht="17" hidden="1" x14ac:dyDescent="0.2">
      <c r="A70" s="16">
        <v>5</v>
      </c>
      <c r="B70" s="13" t="s">
        <v>9</v>
      </c>
      <c r="C70" s="1" t="s">
        <v>35</v>
      </c>
      <c r="D70" s="1">
        <v>29.6</v>
      </c>
      <c r="E70" s="3">
        <v>214020073</v>
      </c>
      <c r="F70" s="3">
        <v>177899985</v>
      </c>
      <c r="G70" s="4">
        <v>11051639</v>
      </c>
      <c r="H70" s="4">
        <v>2750000</v>
      </c>
      <c r="I70" s="4">
        <v>4108173</v>
      </c>
    </row>
    <row r="71" spans="1:9" ht="17" hidden="1" x14ac:dyDescent="0.2">
      <c r="A71" s="16">
        <v>5</v>
      </c>
      <c r="B71" s="13" t="s">
        <v>9</v>
      </c>
      <c r="C71" s="1" t="s">
        <v>32</v>
      </c>
      <c r="D71" s="1">
        <v>27.9</v>
      </c>
      <c r="E71" s="3">
        <v>231700554</v>
      </c>
      <c r="F71" s="3">
        <v>177772473</v>
      </c>
      <c r="G71" s="4">
        <v>9765536</v>
      </c>
      <c r="H71" s="4">
        <v>8350000</v>
      </c>
      <c r="I71" s="4">
        <v>7711993</v>
      </c>
    </row>
    <row r="72" spans="1:9" ht="17" hidden="1" x14ac:dyDescent="0.2">
      <c r="A72" s="16">
        <v>9</v>
      </c>
      <c r="B72" s="13" t="s">
        <v>9</v>
      </c>
      <c r="C72" s="1" t="s">
        <v>32</v>
      </c>
      <c r="D72" s="1">
        <v>28.5</v>
      </c>
      <c r="E72" s="3">
        <v>189869996</v>
      </c>
      <c r="F72" s="3">
        <v>135207874</v>
      </c>
      <c r="G72" s="4">
        <v>12522069</v>
      </c>
      <c r="H72" s="1" t="s">
        <v>1</v>
      </c>
      <c r="I72" s="4">
        <v>6736768</v>
      </c>
    </row>
    <row r="73" spans="1:9" ht="17" hidden="1" x14ac:dyDescent="0.2">
      <c r="A73" s="16">
        <v>17</v>
      </c>
      <c r="B73" s="13" t="s">
        <v>9</v>
      </c>
      <c r="C73" s="1" t="s">
        <v>58</v>
      </c>
      <c r="D73" s="1">
        <v>27.9</v>
      </c>
      <c r="E73" s="3">
        <v>151054737</v>
      </c>
      <c r="F73" s="3">
        <v>83228504</v>
      </c>
      <c r="G73" s="4">
        <v>44219852</v>
      </c>
      <c r="H73" s="4">
        <v>1000000</v>
      </c>
      <c r="I73" s="4">
        <v>3380922</v>
      </c>
    </row>
    <row r="74" spans="1:9" ht="17" hidden="1" x14ac:dyDescent="0.2">
      <c r="A74" s="16">
        <v>26</v>
      </c>
      <c r="B74" s="13" t="s">
        <v>9</v>
      </c>
      <c r="C74" s="1" t="s">
        <v>48</v>
      </c>
      <c r="D74" s="1">
        <v>28</v>
      </c>
      <c r="E74" s="3">
        <v>144040237</v>
      </c>
      <c r="F74" s="3">
        <v>33340389</v>
      </c>
      <c r="G74" s="4">
        <v>38537463</v>
      </c>
      <c r="H74" s="1" t="s">
        <v>1</v>
      </c>
      <c r="I74" s="4">
        <v>667976</v>
      </c>
    </row>
    <row r="75" spans="1:9" ht="17" hidden="1" x14ac:dyDescent="0.2">
      <c r="A75" s="16">
        <v>3</v>
      </c>
      <c r="B75" s="13" t="s">
        <v>9</v>
      </c>
      <c r="C75" s="1" t="s">
        <v>95</v>
      </c>
      <c r="D75" s="1">
        <v>28.8</v>
      </c>
      <c r="E75" s="3">
        <v>86596171</v>
      </c>
      <c r="F75" s="3">
        <v>66116504</v>
      </c>
      <c r="G75" s="4">
        <v>6448626</v>
      </c>
      <c r="H75" s="4">
        <v>11000000</v>
      </c>
      <c r="I75" s="4">
        <v>1566578</v>
      </c>
    </row>
    <row r="76" spans="1:9" ht="17" hidden="1" x14ac:dyDescent="0.2">
      <c r="A76" s="16">
        <v>1</v>
      </c>
      <c r="B76" s="13" t="s">
        <v>9</v>
      </c>
      <c r="C76" s="1" t="s">
        <v>77</v>
      </c>
      <c r="D76" s="1">
        <v>28.7</v>
      </c>
      <c r="E76" s="3">
        <v>221580085</v>
      </c>
      <c r="F76" s="3">
        <v>197673216</v>
      </c>
      <c r="G76" s="4">
        <v>11093615</v>
      </c>
      <c r="H76" s="4">
        <v>3500000</v>
      </c>
      <c r="I76" s="4">
        <v>4538027</v>
      </c>
    </row>
    <row r="77" spans="1:9" ht="17" hidden="1" x14ac:dyDescent="0.2">
      <c r="A77" s="16">
        <v>4</v>
      </c>
      <c r="B77" s="13" t="s">
        <v>9</v>
      </c>
      <c r="C77" s="1" t="s">
        <v>117</v>
      </c>
      <c r="D77" s="1">
        <v>28.8</v>
      </c>
      <c r="E77" s="3">
        <v>194259933</v>
      </c>
      <c r="F77" s="3">
        <v>152092957</v>
      </c>
      <c r="G77" s="4">
        <v>37451220</v>
      </c>
      <c r="H77" s="1" t="s">
        <v>1</v>
      </c>
      <c r="I77" s="4">
        <v>298862</v>
      </c>
    </row>
    <row r="78" spans="1:9" ht="17" hidden="1" x14ac:dyDescent="0.2">
      <c r="A78" s="16">
        <v>7</v>
      </c>
      <c r="B78" s="13" t="s">
        <v>9</v>
      </c>
      <c r="C78" s="1" t="s">
        <v>117</v>
      </c>
      <c r="D78" s="1">
        <v>28.4</v>
      </c>
      <c r="E78" s="3">
        <v>172092536</v>
      </c>
      <c r="F78" s="3">
        <v>161127834</v>
      </c>
      <c r="G78" s="1" t="s">
        <v>1</v>
      </c>
      <c r="H78" s="1" t="s">
        <v>1</v>
      </c>
      <c r="I78" s="4">
        <v>216302</v>
      </c>
    </row>
    <row r="79" spans="1:9" ht="17" hidden="1" x14ac:dyDescent="0.2">
      <c r="A79" s="16">
        <v>3</v>
      </c>
      <c r="B79" s="13" t="s">
        <v>9</v>
      </c>
      <c r="C79" s="1" t="s">
        <v>117</v>
      </c>
      <c r="D79" s="1">
        <v>28.4</v>
      </c>
      <c r="E79" s="3">
        <v>186772494</v>
      </c>
      <c r="F79" s="3">
        <v>165798832</v>
      </c>
      <c r="G79" s="4">
        <v>2050500</v>
      </c>
      <c r="H79" s="4">
        <v>16130074</v>
      </c>
      <c r="I79" s="4">
        <v>1510576</v>
      </c>
    </row>
    <row r="80" spans="1:9" ht="17" hidden="1" x14ac:dyDescent="0.2">
      <c r="A80" s="16">
        <v>10</v>
      </c>
      <c r="B80" s="13" t="s">
        <v>9</v>
      </c>
      <c r="C80" s="1" t="s">
        <v>117</v>
      </c>
      <c r="D80" s="1">
        <v>28.3</v>
      </c>
      <c r="E80" s="3">
        <v>132993810</v>
      </c>
      <c r="F80" s="3">
        <v>106652384</v>
      </c>
      <c r="G80" s="4">
        <v>1000000</v>
      </c>
      <c r="H80" s="4">
        <v>23656617</v>
      </c>
      <c r="I80" s="4">
        <v>1684809</v>
      </c>
    </row>
    <row r="81" spans="1:9" ht="17" hidden="1" x14ac:dyDescent="0.2">
      <c r="A81" s="16">
        <v>28</v>
      </c>
      <c r="B81" s="13" t="s">
        <v>9</v>
      </c>
      <c r="C81" s="1" t="s">
        <v>117</v>
      </c>
      <c r="D81" s="1">
        <v>26.7</v>
      </c>
      <c r="E81" s="3">
        <v>90364741</v>
      </c>
      <c r="F81" s="3">
        <v>54429470</v>
      </c>
      <c r="G81" s="1" t="s">
        <v>1</v>
      </c>
      <c r="H81" s="4">
        <v>10043033</v>
      </c>
      <c r="I81" s="4">
        <v>1252237</v>
      </c>
    </row>
    <row r="82" spans="1:9" ht="17" hidden="1" x14ac:dyDescent="0.2">
      <c r="A82" s="16">
        <v>28</v>
      </c>
      <c r="B82" s="13" t="s">
        <v>9</v>
      </c>
      <c r="C82" s="1" t="s">
        <v>117</v>
      </c>
      <c r="D82" s="1">
        <v>26.8</v>
      </c>
      <c r="E82" s="3">
        <v>103152899</v>
      </c>
      <c r="F82" s="3">
        <v>55657243</v>
      </c>
      <c r="G82" s="4">
        <v>2263715</v>
      </c>
      <c r="H82" s="4">
        <v>1350000</v>
      </c>
      <c r="I82" s="4">
        <v>4326611</v>
      </c>
    </row>
    <row r="83" spans="1:9" ht="17" hidden="1" x14ac:dyDescent="0.2">
      <c r="A83" s="16">
        <v>18</v>
      </c>
      <c r="B83" s="13" t="s">
        <v>9</v>
      </c>
      <c r="C83" s="1" t="s">
        <v>117</v>
      </c>
      <c r="D83" s="1">
        <v>26.2</v>
      </c>
      <c r="E83" s="3">
        <v>114891526</v>
      </c>
      <c r="F83" s="3">
        <v>82349366</v>
      </c>
      <c r="G83" s="1" t="s">
        <v>1</v>
      </c>
      <c r="H83" s="1" t="s">
        <v>1</v>
      </c>
      <c r="I83" s="1" t="s">
        <v>1</v>
      </c>
    </row>
    <row r="84" spans="1:9" ht="137" hidden="1" customHeight="1" x14ac:dyDescent="0.2">
      <c r="A84" s="16">
        <v>6</v>
      </c>
      <c r="B84" s="13" t="s">
        <v>9</v>
      </c>
      <c r="C84" s="1" t="s">
        <v>117</v>
      </c>
      <c r="D84" s="1">
        <v>28.1</v>
      </c>
      <c r="E84" s="3">
        <v>137666584</v>
      </c>
      <c r="F84" s="3">
        <v>123941584</v>
      </c>
      <c r="G84" s="1" t="s">
        <v>1</v>
      </c>
      <c r="H84" s="1" t="s">
        <v>1</v>
      </c>
      <c r="I84" s="1" t="s">
        <v>1</v>
      </c>
    </row>
    <row r="85" spans="1:9" x14ac:dyDescent="0.2">
      <c r="A85" s="13" t="s">
        <v>13</v>
      </c>
      <c r="B85" s="14">
        <v>164645919.53333333</v>
      </c>
    </row>
    <row r="86" spans="1:9" x14ac:dyDescent="0.2">
      <c r="A86" s="13" t="s">
        <v>9</v>
      </c>
      <c r="B86" s="14">
        <v>158070425.06666666</v>
      </c>
    </row>
    <row r="87" spans="1:9" x14ac:dyDescent="0.2">
      <c r="A87" s="13" t="s">
        <v>10</v>
      </c>
      <c r="B87" s="14">
        <v>153111014.73333332</v>
      </c>
    </row>
    <row r="88" spans="1:9" x14ac:dyDescent="0.2">
      <c r="A88" s="13" t="s">
        <v>4</v>
      </c>
      <c r="B88" s="14">
        <v>149266188.73333332</v>
      </c>
    </row>
    <row r="89" spans="1:9" x14ac:dyDescent="0.2">
      <c r="A89" s="13" t="s">
        <v>19</v>
      </c>
      <c r="B89" s="14">
        <v>139401892.06666666</v>
      </c>
    </row>
    <row r="90" spans="1:9" x14ac:dyDescent="0.2">
      <c r="A90" s="13" t="s">
        <v>2</v>
      </c>
      <c r="B90" s="14">
        <v>137132011.13333333</v>
      </c>
    </row>
    <row r="91" spans="1:9" x14ac:dyDescent="0.2">
      <c r="A91" s="13" t="s">
        <v>7</v>
      </c>
      <c r="B91" s="14">
        <v>136585891.13333333</v>
      </c>
    </row>
    <row r="92" spans="1:9" x14ac:dyDescent="0.2">
      <c r="A92" s="13" t="s">
        <v>17</v>
      </c>
      <c r="B92" s="14">
        <v>134997503.86666667</v>
      </c>
    </row>
    <row r="93" spans="1:9" x14ac:dyDescent="0.2">
      <c r="A93" s="13" t="s">
        <v>30</v>
      </c>
      <c r="B93" s="14">
        <v>128384333.53333333</v>
      </c>
    </row>
    <row r="94" spans="1:9" x14ac:dyDescent="0.2">
      <c r="A94" s="13" t="s">
        <v>8</v>
      </c>
      <c r="B94" s="14">
        <v>124571453.46666667</v>
      </c>
    </row>
    <row r="95" spans="1:9" x14ac:dyDescent="0.2">
      <c r="A95" s="13" t="s">
        <v>15</v>
      </c>
      <c r="B95" s="14">
        <v>120914727.13333334</v>
      </c>
    </row>
    <row r="96" spans="1:9" x14ac:dyDescent="0.2">
      <c r="A96" s="13" t="s">
        <v>20</v>
      </c>
      <c r="B96" s="14">
        <v>117714881</v>
      </c>
    </row>
    <row r="97" spans="1:9" x14ac:dyDescent="0.2">
      <c r="A97" s="13" t="s">
        <v>22</v>
      </c>
      <c r="B97" s="14">
        <v>114527835.59999999</v>
      </c>
    </row>
    <row r="98" spans="1:9" x14ac:dyDescent="0.2">
      <c r="A98" s="13" t="s">
        <v>23</v>
      </c>
      <c r="B98" s="14">
        <v>113605922.8</v>
      </c>
    </row>
    <row r="99" spans="1:9" ht="17" hidden="1" x14ac:dyDescent="0.2">
      <c r="A99" s="16">
        <v>30</v>
      </c>
      <c r="B99" s="13" t="s">
        <v>22</v>
      </c>
      <c r="C99" s="1" t="s">
        <v>54</v>
      </c>
      <c r="D99" s="1">
        <v>26.4</v>
      </c>
      <c r="E99" s="3">
        <v>79960763</v>
      </c>
      <c r="F99" s="3">
        <v>17295751</v>
      </c>
      <c r="G99" s="4">
        <v>41763612</v>
      </c>
      <c r="H99" s="4">
        <v>1504667</v>
      </c>
      <c r="I99" s="4">
        <v>6808578</v>
      </c>
    </row>
    <row r="100" spans="1:9" ht="17" hidden="1" x14ac:dyDescent="0.2">
      <c r="A100" s="16">
        <v>19</v>
      </c>
      <c r="B100" s="13" t="s">
        <v>22</v>
      </c>
      <c r="C100" s="1" t="s">
        <v>62</v>
      </c>
      <c r="D100" s="1">
        <v>26.1</v>
      </c>
      <c r="E100" s="3">
        <v>142916866</v>
      </c>
      <c r="F100" s="3">
        <v>75334319</v>
      </c>
      <c r="G100" s="4">
        <v>8292506</v>
      </c>
      <c r="H100" s="4">
        <v>17250000</v>
      </c>
      <c r="I100" s="4">
        <v>4396245</v>
      </c>
    </row>
    <row r="101" spans="1:9" ht="17" hidden="1" x14ac:dyDescent="0.2">
      <c r="A101" s="16">
        <v>14</v>
      </c>
      <c r="B101" s="13" t="s">
        <v>22</v>
      </c>
      <c r="C101" s="1" t="s">
        <v>61</v>
      </c>
      <c r="D101" s="1">
        <v>27.9</v>
      </c>
      <c r="E101" s="3">
        <v>162867704</v>
      </c>
      <c r="F101" s="3">
        <v>85296484</v>
      </c>
      <c r="G101" s="4">
        <v>37717329</v>
      </c>
      <c r="H101" s="1" t="s">
        <v>1</v>
      </c>
      <c r="I101" s="4">
        <v>1041785</v>
      </c>
    </row>
    <row r="102" spans="1:9" ht="17" hidden="1" x14ac:dyDescent="0.2">
      <c r="A102" s="16">
        <v>6</v>
      </c>
      <c r="B102" s="13" t="s">
        <v>22</v>
      </c>
      <c r="C102" s="1" t="s">
        <v>38</v>
      </c>
      <c r="D102" s="1">
        <v>29.6</v>
      </c>
      <c r="E102" s="3">
        <v>203203922</v>
      </c>
      <c r="F102" s="3">
        <v>154697729</v>
      </c>
      <c r="G102" s="4">
        <v>20008123</v>
      </c>
      <c r="H102" s="4">
        <v>6500000</v>
      </c>
      <c r="I102" s="4">
        <v>3191569</v>
      </c>
    </row>
    <row r="103" spans="1:9" ht="17" hidden="1" x14ac:dyDescent="0.2">
      <c r="A103" s="16">
        <v>9</v>
      </c>
      <c r="B103" s="13" t="s">
        <v>22</v>
      </c>
      <c r="C103" s="1" t="s">
        <v>31</v>
      </c>
      <c r="D103" s="1">
        <v>28</v>
      </c>
      <c r="E103" s="3">
        <v>140926169</v>
      </c>
      <c r="F103" s="3">
        <v>125829369</v>
      </c>
      <c r="G103" s="4">
        <v>3193240</v>
      </c>
      <c r="H103" s="1" t="s">
        <v>1</v>
      </c>
      <c r="I103" s="4">
        <v>1804417</v>
      </c>
    </row>
    <row r="104" spans="1:9" ht="17" hidden="1" x14ac:dyDescent="0.2">
      <c r="A104" s="16">
        <v>14</v>
      </c>
      <c r="B104" s="13" t="s">
        <v>22</v>
      </c>
      <c r="C104" s="1" t="s">
        <v>102</v>
      </c>
      <c r="D104" s="1">
        <v>27.3</v>
      </c>
      <c r="E104" s="3">
        <v>53665251</v>
      </c>
      <c r="F104" s="3">
        <v>43034329</v>
      </c>
      <c r="G104" s="4">
        <v>1819815</v>
      </c>
      <c r="H104" s="4">
        <v>1250000</v>
      </c>
      <c r="I104" s="4">
        <v>789761</v>
      </c>
    </row>
    <row r="105" spans="1:9" ht="17" hidden="1" x14ac:dyDescent="0.2">
      <c r="A105" s="16">
        <v>23</v>
      </c>
      <c r="B105" s="13" t="s">
        <v>22</v>
      </c>
      <c r="C105" s="1" t="s">
        <v>114</v>
      </c>
      <c r="D105" s="1">
        <v>27.5</v>
      </c>
      <c r="E105" s="3">
        <v>91371201</v>
      </c>
      <c r="F105" s="3">
        <v>67330431</v>
      </c>
      <c r="G105" s="4">
        <v>10267750</v>
      </c>
      <c r="H105" s="4">
        <v>1000000</v>
      </c>
      <c r="I105" s="4">
        <v>692323</v>
      </c>
    </row>
    <row r="106" spans="1:9" ht="17" hidden="1" x14ac:dyDescent="0.2">
      <c r="A106" s="16">
        <v>26</v>
      </c>
      <c r="B106" s="13" t="s">
        <v>22</v>
      </c>
      <c r="C106" s="1" t="s">
        <v>117</v>
      </c>
      <c r="D106" s="1">
        <v>26.8</v>
      </c>
      <c r="E106" s="3">
        <v>71839808</v>
      </c>
      <c r="F106" s="3">
        <v>57261542</v>
      </c>
      <c r="G106" s="4">
        <v>5920130</v>
      </c>
      <c r="H106" s="4">
        <v>1000000</v>
      </c>
      <c r="I106" s="4">
        <v>976694</v>
      </c>
    </row>
    <row r="107" spans="1:9" ht="17" hidden="1" x14ac:dyDescent="0.2">
      <c r="A107" s="16">
        <v>27</v>
      </c>
      <c r="B107" s="13" t="s">
        <v>22</v>
      </c>
      <c r="C107" s="1" t="s">
        <v>117</v>
      </c>
      <c r="D107" s="1">
        <v>26.3</v>
      </c>
      <c r="E107" s="3">
        <v>85495238</v>
      </c>
      <c r="F107" s="3">
        <v>32540383</v>
      </c>
      <c r="G107" s="4">
        <v>7571000</v>
      </c>
      <c r="H107" s="4">
        <v>1823770</v>
      </c>
      <c r="I107" s="4">
        <v>525009</v>
      </c>
    </row>
    <row r="108" spans="1:9" ht="17" hidden="1" x14ac:dyDescent="0.2">
      <c r="A108" s="16">
        <v>16</v>
      </c>
      <c r="B108" s="13" t="s">
        <v>22</v>
      </c>
      <c r="C108" s="1" t="s">
        <v>117</v>
      </c>
      <c r="D108" s="1">
        <v>27</v>
      </c>
      <c r="E108" s="3">
        <v>129715686</v>
      </c>
      <c r="F108" s="3">
        <v>88724466</v>
      </c>
      <c r="G108" s="4">
        <v>12024268</v>
      </c>
      <c r="H108" s="4">
        <v>6801405</v>
      </c>
      <c r="I108" s="1" t="s">
        <v>1</v>
      </c>
    </row>
    <row r="109" spans="1:9" ht="17" hidden="1" x14ac:dyDescent="0.2">
      <c r="A109" s="16">
        <v>17</v>
      </c>
      <c r="B109" s="13" t="s">
        <v>22</v>
      </c>
      <c r="C109" s="1" t="s">
        <v>117</v>
      </c>
      <c r="D109" s="1">
        <v>27.4</v>
      </c>
      <c r="E109" s="3">
        <v>118875487</v>
      </c>
      <c r="F109" s="3">
        <v>94365735</v>
      </c>
      <c r="G109" s="4">
        <v>507500</v>
      </c>
      <c r="H109" s="4">
        <v>9052252</v>
      </c>
      <c r="I109" s="4">
        <v>1950000</v>
      </c>
    </row>
    <row r="110" spans="1:9" ht="17" hidden="1" x14ac:dyDescent="0.2">
      <c r="A110" s="16">
        <v>27</v>
      </c>
      <c r="B110" s="13" t="s">
        <v>22</v>
      </c>
      <c r="C110" s="1" t="s">
        <v>117</v>
      </c>
      <c r="D110" s="1">
        <v>26.9</v>
      </c>
      <c r="E110" s="3">
        <v>89297302</v>
      </c>
      <c r="F110" s="3">
        <v>60305897</v>
      </c>
      <c r="G110" s="1" t="s">
        <v>1</v>
      </c>
      <c r="H110" s="4">
        <v>24835246</v>
      </c>
      <c r="I110" s="4">
        <v>579656</v>
      </c>
    </row>
    <row r="111" spans="1:9" ht="17" hidden="1" x14ac:dyDescent="0.2">
      <c r="A111" s="16">
        <v>15</v>
      </c>
      <c r="B111" s="13" t="s">
        <v>22</v>
      </c>
      <c r="C111" s="1" t="s">
        <v>117</v>
      </c>
      <c r="D111" s="1">
        <v>26.9</v>
      </c>
      <c r="E111" s="3">
        <v>111777595</v>
      </c>
      <c r="F111" s="3">
        <v>82929539</v>
      </c>
      <c r="G111" s="1" t="s">
        <v>1</v>
      </c>
      <c r="H111" s="4">
        <v>4500000</v>
      </c>
      <c r="I111" s="4">
        <v>184753</v>
      </c>
    </row>
    <row r="112" spans="1:9" ht="17" hidden="1" x14ac:dyDescent="0.2">
      <c r="A112" s="16">
        <v>11</v>
      </c>
      <c r="B112" s="13" t="s">
        <v>22</v>
      </c>
      <c r="C112" s="5" t="s">
        <v>117</v>
      </c>
      <c r="D112" s="5">
        <v>27.9</v>
      </c>
      <c r="E112" s="7">
        <v>108841055</v>
      </c>
      <c r="F112" s="7">
        <v>108119744</v>
      </c>
      <c r="G112" s="5" t="s">
        <v>1</v>
      </c>
      <c r="H112" s="8">
        <v>500000</v>
      </c>
      <c r="I112" s="5" t="s">
        <v>1</v>
      </c>
    </row>
    <row r="113" spans="1:9" ht="17" hidden="1" x14ac:dyDescent="0.2">
      <c r="A113" s="16">
        <v>8</v>
      </c>
      <c r="B113" s="13" t="s">
        <v>22</v>
      </c>
      <c r="C113" s="1" t="s">
        <v>117</v>
      </c>
      <c r="D113" s="1">
        <v>28.5</v>
      </c>
      <c r="E113" s="3">
        <v>127163487</v>
      </c>
      <c r="F113" s="3">
        <v>114382485</v>
      </c>
      <c r="G113" s="1" t="s">
        <v>1</v>
      </c>
      <c r="H113" s="4">
        <v>450000</v>
      </c>
      <c r="I113" s="1" t="s">
        <v>1</v>
      </c>
    </row>
    <row r="114" spans="1:9" ht="17" hidden="1" x14ac:dyDescent="0.2">
      <c r="A114" s="16">
        <v>19</v>
      </c>
      <c r="B114" s="13" t="s">
        <v>28</v>
      </c>
      <c r="C114" s="1" t="s">
        <v>32</v>
      </c>
      <c r="D114" s="1">
        <v>27.6</v>
      </c>
      <c r="E114" s="3">
        <v>119036486</v>
      </c>
      <c r="F114" s="3">
        <v>82400075</v>
      </c>
      <c r="G114" s="4">
        <v>6690527</v>
      </c>
      <c r="H114" s="4">
        <v>3000000</v>
      </c>
      <c r="I114" s="4">
        <v>3428787</v>
      </c>
    </row>
    <row r="115" spans="1:9" ht="17" hidden="1" x14ac:dyDescent="0.2">
      <c r="A115" s="16">
        <v>23</v>
      </c>
      <c r="B115" s="13" t="s">
        <v>28</v>
      </c>
      <c r="C115" s="1" t="s">
        <v>51</v>
      </c>
      <c r="D115" s="1">
        <v>28.2</v>
      </c>
      <c r="E115" s="3">
        <v>102298823</v>
      </c>
      <c r="F115" s="3">
        <v>55838370</v>
      </c>
      <c r="G115" s="4">
        <v>23275248</v>
      </c>
      <c r="H115" s="4">
        <v>10250000</v>
      </c>
      <c r="I115" s="4">
        <v>1625060</v>
      </c>
    </row>
    <row r="116" spans="1:9" ht="17" hidden="1" x14ac:dyDescent="0.2">
      <c r="A116" s="16">
        <v>27</v>
      </c>
      <c r="B116" s="13" t="s">
        <v>28</v>
      </c>
      <c r="C116" s="1" t="s">
        <v>44</v>
      </c>
      <c r="D116" s="1">
        <v>27.7</v>
      </c>
      <c r="E116" s="3">
        <v>95731662</v>
      </c>
      <c r="F116" s="3">
        <v>43846791</v>
      </c>
      <c r="G116" s="4">
        <v>9699072</v>
      </c>
      <c r="H116" s="1" t="s">
        <v>1</v>
      </c>
      <c r="I116" s="4">
        <v>3289349</v>
      </c>
    </row>
    <row r="117" spans="1:9" ht="17" hidden="1" x14ac:dyDescent="0.2">
      <c r="A117" s="16">
        <v>29</v>
      </c>
      <c r="B117" s="13" t="s">
        <v>28</v>
      </c>
      <c r="C117" s="1" t="s">
        <v>68</v>
      </c>
      <c r="D117" s="1">
        <v>27.9</v>
      </c>
      <c r="E117" s="3">
        <v>115417321</v>
      </c>
      <c r="F117" s="3">
        <v>22546012</v>
      </c>
      <c r="G117" s="4">
        <v>61180258</v>
      </c>
      <c r="H117" s="4">
        <v>1000000</v>
      </c>
      <c r="I117" s="4">
        <v>1542568</v>
      </c>
    </row>
    <row r="118" spans="1:9" ht="17" hidden="1" x14ac:dyDescent="0.2">
      <c r="A118" s="16">
        <v>13</v>
      </c>
      <c r="B118" s="13" t="s">
        <v>28</v>
      </c>
      <c r="C118" s="1" t="s">
        <v>32</v>
      </c>
      <c r="D118" s="1">
        <v>28</v>
      </c>
      <c r="E118" s="3">
        <v>126608690</v>
      </c>
      <c r="F118" s="3">
        <v>85325437</v>
      </c>
      <c r="G118" s="4">
        <v>35531500</v>
      </c>
      <c r="H118" s="1" t="s">
        <v>1</v>
      </c>
      <c r="I118" s="4">
        <v>1525344</v>
      </c>
    </row>
    <row r="119" spans="1:9" ht="17" hidden="1" x14ac:dyDescent="0.2">
      <c r="A119" s="16">
        <v>8</v>
      </c>
      <c r="B119" s="13" t="s">
        <v>28</v>
      </c>
      <c r="C119" s="1" t="s">
        <v>100</v>
      </c>
      <c r="D119" s="1">
        <v>28.4</v>
      </c>
      <c r="E119" s="3">
        <v>55535890</v>
      </c>
      <c r="F119" s="3">
        <v>51854326</v>
      </c>
      <c r="G119" s="4">
        <v>658696</v>
      </c>
      <c r="H119" s="1" t="s">
        <v>1</v>
      </c>
      <c r="I119" s="4">
        <v>1100730</v>
      </c>
    </row>
    <row r="120" spans="1:9" ht="17" hidden="1" x14ac:dyDescent="0.2">
      <c r="A120" s="16">
        <v>17</v>
      </c>
      <c r="B120" s="13" t="s">
        <v>28</v>
      </c>
      <c r="C120" s="1" t="s">
        <v>46</v>
      </c>
      <c r="D120" s="1">
        <v>27.2</v>
      </c>
      <c r="E120" s="3">
        <v>128691569</v>
      </c>
      <c r="F120" s="3">
        <v>84680306</v>
      </c>
      <c r="G120" s="4">
        <v>580000</v>
      </c>
      <c r="H120" s="1" t="s">
        <v>1</v>
      </c>
      <c r="I120" s="4">
        <v>357072</v>
      </c>
    </row>
    <row r="121" spans="1:9" ht="17" hidden="1" x14ac:dyDescent="0.2">
      <c r="A121" s="16">
        <v>19</v>
      </c>
      <c r="B121" s="13" t="s">
        <v>28</v>
      </c>
      <c r="C121" s="1" t="s">
        <v>117</v>
      </c>
      <c r="D121" s="1">
        <v>26.7</v>
      </c>
      <c r="E121" s="3">
        <v>100305768</v>
      </c>
      <c r="F121" s="3">
        <v>82511299</v>
      </c>
      <c r="G121" s="4">
        <v>1344890</v>
      </c>
      <c r="H121" s="1" t="s">
        <v>1</v>
      </c>
      <c r="I121" s="4">
        <v>1207092</v>
      </c>
    </row>
    <row r="122" spans="1:9" ht="17" hidden="1" x14ac:dyDescent="0.2">
      <c r="A122" s="16">
        <v>23</v>
      </c>
      <c r="B122" s="13" t="s">
        <v>28</v>
      </c>
      <c r="C122" s="1" t="s">
        <v>117</v>
      </c>
      <c r="D122" s="1">
        <v>25.7</v>
      </c>
      <c r="E122" s="3">
        <v>96436003</v>
      </c>
      <c r="F122" s="3">
        <v>64567947</v>
      </c>
      <c r="G122" s="4">
        <v>16021450</v>
      </c>
      <c r="H122" s="1" t="s">
        <v>1</v>
      </c>
      <c r="I122" s="4">
        <v>443600</v>
      </c>
    </row>
    <row r="123" spans="1:9" ht="17" hidden="1" x14ac:dyDescent="0.2">
      <c r="A123" s="16">
        <v>21</v>
      </c>
      <c r="B123" s="13" t="s">
        <v>28</v>
      </c>
      <c r="C123" s="1" t="s">
        <v>117</v>
      </c>
      <c r="D123" s="1">
        <v>27</v>
      </c>
      <c r="E123" s="3">
        <v>88626437</v>
      </c>
      <c r="F123" s="3">
        <v>63783665</v>
      </c>
      <c r="G123" s="4">
        <v>11856070</v>
      </c>
      <c r="H123" s="4">
        <v>3107803</v>
      </c>
      <c r="I123" s="4">
        <v>2123945</v>
      </c>
    </row>
    <row r="124" spans="1:9" ht="17" hidden="1" x14ac:dyDescent="0.2">
      <c r="A124" s="16">
        <v>21</v>
      </c>
      <c r="B124" s="13" t="s">
        <v>28</v>
      </c>
      <c r="C124" s="1" t="s">
        <v>117</v>
      </c>
      <c r="D124" s="1">
        <v>27.4</v>
      </c>
      <c r="E124" s="3">
        <v>112333097</v>
      </c>
      <c r="F124" s="3">
        <v>68445559</v>
      </c>
      <c r="G124" s="4">
        <v>22890777</v>
      </c>
      <c r="H124" s="4">
        <v>20832787</v>
      </c>
      <c r="I124" s="4">
        <v>163974</v>
      </c>
    </row>
    <row r="125" spans="1:9" ht="17" hidden="1" x14ac:dyDescent="0.2">
      <c r="A125" s="16">
        <v>15</v>
      </c>
      <c r="B125" s="13" t="s">
        <v>28</v>
      </c>
      <c r="C125" s="1" t="s">
        <v>117</v>
      </c>
      <c r="D125" s="1">
        <v>27.9</v>
      </c>
      <c r="E125" s="3">
        <v>113351318</v>
      </c>
      <c r="F125" s="3">
        <v>99729931</v>
      </c>
      <c r="G125" s="4">
        <v>5500000</v>
      </c>
      <c r="H125" s="4">
        <v>1000000</v>
      </c>
      <c r="I125" s="4">
        <v>1744338</v>
      </c>
    </row>
    <row r="126" spans="1:9" ht="17" hidden="1" x14ac:dyDescent="0.2">
      <c r="A126" s="16">
        <v>13</v>
      </c>
      <c r="B126" s="13" t="s">
        <v>28</v>
      </c>
      <c r="C126" s="1" t="s">
        <v>117</v>
      </c>
      <c r="D126" s="1">
        <v>28.3</v>
      </c>
      <c r="E126" s="3">
        <v>103804640</v>
      </c>
      <c r="F126" s="3">
        <v>97930597</v>
      </c>
      <c r="G126" s="4">
        <v>4500000</v>
      </c>
      <c r="H126" s="1" t="s">
        <v>1</v>
      </c>
      <c r="I126" s="4">
        <v>1374043</v>
      </c>
    </row>
    <row r="127" spans="1:9" ht="17" hidden="1" x14ac:dyDescent="0.2">
      <c r="A127" s="16">
        <v>16</v>
      </c>
      <c r="B127" s="13" t="s">
        <v>28</v>
      </c>
      <c r="C127" s="1" t="s">
        <v>117</v>
      </c>
      <c r="D127" s="1">
        <v>27.8</v>
      </c>
      <c r="E127" s="3">
        <v>89901498</v>
      </c>
      <c r="F127" s="3">
        <v>89101498</v>
      </c>
      <c r="G127" s="1" t="s">
        <v>1</v>
      </c>
      <c r="H127" s="1" t="s">
        <v>1</v>
      </c>
      <c r="I127" s="4">
        <v>800000</v>
      </c>
    </row>
    <row r="128" spans="1:9" s="9" customFormat="1" ht="17" hidden="1" x14ac:dyDescent="0.2">
      <c r="A128" s="16">
        <v>18</v>
      </c>
      <c r="B128" s="13" t="s">
        <v>28</v>
      </c>
      <c r="C128" s="1" t="s">
        <v>117</v>
      </c>
      <c r="D128" s="1">
        <v>27.8</v>
      </c>
      <c r="E128" s="3">
        <v>81920546</v>
      </c>
      <c r="F128" s="3">
        <v>79612874</v>
      </c>
      <c r="G128" s="1" t="s">
        <v>1</v>
      </c>
      <c r="H128" s="4">
        <v>2000000</v>
      </c>
      <c r="I128" s="1" t="s">
        <v>1</v>
      </c>
    </row>
    <row r="129" spans="1:9" ht="17" hidden="1" x14ac:dyDescent="0.2">
      <c r="A129" s="16">
        <v>26</v>
      </c>
      <c r="B129" s="13" t="s">
        <v>25</v>
      </c>
      <c r="C129" s="1" t="s">
        <v>50</v>
      </c>
      <c r="D129" s="1">
        <v>26.3</v>
      </c>
      <c r="E129" s="3">
        <v>100265946</v>
      </c>
      <c r="F129" s="3">
        <v>48754621</v>
      </c>
      <c r="G129" s="4">
        <v>15769560</v>
      </c>
      <c r="H129" s="1" t="s">
        <v>1</v>
      </c>
      <c r="I129" s="4">
        <v>11067134</v>
      </c>
    </row>
    <row r="130" spans="1:9" ht="17" hidden="1" x14ac:dyDescent="0.2">
      <c r="A130" s="16">
        <v>25</v>
      </c>
      <c r="B130" s="13" t="s">
        <v>25</v>
      </c>
      <c r="C130" s="1" t="s">
        <v>64</v>
      </c>
      <c r="D130" s="1">
        <v>26.3</v>
      </c>
      <c r="E130" s="3">
        <v>107113214</v>
      </c>
      <c r="F130" s="3">
        <v>51105714</v>
      </c>
      <c r="G130" s="4">
        <v>21120833</v>
      </c>
      <c r="H130" s="4">
        <v>2000000</v>
      </c>
      <c r="I130" s="4">
        <v>11940830</v>
      </c>
    </row>
    <row r="131" spans="1:9" ht="17" hidden="1" x14ac:dyDescent="0.2">
      <c r="A131" s="16">
        <v>22</v>
      </c>
      <c r="B131" s="13" t="s">
        <v>25</v>
      </c>
      <c r="C131" s="1" t="s">
        <v>40</v>
      </c>
      <c r="D131" s="1">
        <v>26.3</v>
      </c>
      <c r="E131" s="3">
        <v>92103949</v>
      </c>
      <c r="F131" s="3">
        <v>55008112</v>
      </c>
      <c r="G131" s="4">
        <v>1885266</v>
      </c>
      <c r="H131" s="1" t="s">
        <v>1</v>
      </c>
      <c r="I131" s="4">
        <v>4220902</v>
      </c>
    </row>
    <row r="132" spans="1:9" ht="17" hidden="1" x14ac:dyDescent="0.2">
      <c r="A132" s="16">
        <v>22</v>
      </c>
      <c r="B132" s="13" t="s">
        <v>25</v>
      </c>
      <c r="C132" s="1" t="s">
        <v>35</v>
      </c>
      <c r="D132" s="1">
        <v>25.6</v>
      </c>
      <c r="E132" s="3">
        <v>66717694</v>
      </c>
      <c r="F132" s="3">
        <v>56740005</v>
      </c>
      <c r="G132" s="4">
        <v>702900</v>
      </c>
      <c r="H132" s="1" t="s">
        <v>1</v>
      </c>
      <c r="I132" s="4">
        <v>4654977</v>
      </c>
    </row>
    <row r="133" spans="1:9" ht="17" hidden="1" x14ac:dyDescent="0.2">
      <c r="A133" s="16">
        <v>24</v>
      </c>
      <c r="B133" s="13" t="s">
        <v>25</v>
      </c>
      <c r="C133" s="1" t="s">
        <v>45</v>
      </c>
      <c r="D133" s="1">
        <v>26.6</v>
      </c>
      <c r="E133" s="3">
        <v>50670534</v>
      </c>
      <c r="F133" s="3">
        <v>35682311</v>
      </c>
      <c r="G133" s="4">
        <v>1367760</v>
      </c>
      <c r="H133" s="4">
        <v>450000</v>
      </c>
      <c r="I133" s="4">
        <v>1470889</v>
      </c>
    </row>
    <row r="134" spans="1:9" ht="17" hidden="1" x14ac:dyDescent="0.2">
      <c r="A134" s="16">
        <v>18</v>
      </c>
      <c r="B134" s="13" t="s">
        <v>25</v>
      </c>
      <c r="C134" s="1" t="s">
        <v>102</v>
      </c>
      <c r="D134" s="1">
        <v>27.8</v>
      </c>
      <c r="E134" s="3">
        <v>39299107</v>
      </c>
      <c r="F134" s="3">
        <v>34471070</v>
      </c>
      <c r="G134" s="4">
        <v>209630</v>
      </c>
      <c r="H134" s="4">
        <v>1750000</v>
      </c>
      <c r="I134" s="4">
        <v>1139981</v>
      </c>
    </row>
    <row r="135" spans="1:9" ht="17" hidden="1" x14ac:dyDescent="0.2">
      <c r="A135" s="16">
        <v>18</v>
      </c>
      <c r="B135" s="13" t="s">
        <v>25</v>
      </c>
      <c r="C135" s="1" t="s">
        <v>31</v>
      </c>
      <c r="D135" s="1">
        <v>27.6</v>
      </c>
      <c r="E135" s="3">
        <v>106838693</v>
      </c>
      <c r="F135" s="3">
        <v>83738008</v>
      </c>
      <c r="G135" s="4">
        <v>6588308</v>
      </c>
      <c r="H135" s="4">
        <v>2850000</v>
      </c>
      <c r="I135" s="4">
        <v>347039</v>
      </c>
    </row>
    <row r="136" spans="1:9" ht="17" hidden="1" x14ac:dyDescent="0.2">
      <c r="A136" s="16">
        <v>9</v>
      </c>
      <c r="B136" s="13" t="s">
        <v>25</v>
      </c>
      <c r="C136" s="1" t="s">
        <v>117</v>
      </c>
      <c r="D136" s="1">
        <v>29.6</v>
      </c>
      <c r="E136" s="3">
        <v>142604703</v>
      </c>
      <c r="F136" s="3">
        <v>123470545</v>
      </c>
      <c r="G136" s="4">
        <v>12836166</v>
      </c>
      <c r="H136" s="4">
        <v>1000000</v>
      </c>
      <c r="I136" s="4">
        <v>1075444</v>
      </c>
    </row>
    <row r="137" spans="1:9" ht="17" hidden="1" x14ac:dyDescent="0.2">
      <c r="A137" s="16">
        <v>13</v>
      </c>
      <c r="B137" s="13" t="s">
        <v>25</v>
      </c>
      <c r="C137" s="1" t="s">
        <v>117</v>
      </c>
      <c r="D137" s="1">
        <v>27.9</v>
      </c>
      <c r="E137" s="3">
        <v>132258928</v>
      </c>
      <c r="F137" s="3">
        <v>116072319</v>
      </c>
      <c r="G137" s="4">
        <v>6129713</v>
      </c>
      <c r="H137" s="4">
        <v>9750000</v>
      </c>
      <c r="I137" s="4">
        <v>49691</v>
      </c>
    </row>
    <row r="138" spans="1:9" ht="17" hidden="1" x14ac:dyDescent="0.2">
      <c r="A138" s="16">
        <v>22</v>
      </c>
      <c r="B138" s="13" t="s">
        <v>25</v>
      </c>
      <c r="C138" s="1" t="s">
        <v>117</v>
      </c>
      <c r="D138" s="1">
        <v>28.1</v>
      </c>
      <c r="E138" s="3">
        <v>105971268</v>
      </c>
      <c r="F138" s="3">
        <v>61284062</v>
      </c>
      <c r="G138" s="4">
        <v>11875000</v>
      </c>
      <c r="H138" s="4">
        <v>15015065</v>
      </c>
      <c r="I138" s="4">
        <v>1047141</v>
      </c>
    </row>
    <row r="139" spans="1:9" ht="17" hidden="1" x14ac:dyDescent="0.2">
      <c r="A139" s="16">
        <v>27</v>
      </c>
      <c r="B139" s="13" t="s">
        <v>25</v>
      </c>
      <c r="C139" s="1" t="s">
        <v>117</v>
      </c>
      <c r="D139" s="1">
        <v>27.1</v>
      </c>
      <c r="E139" s="3">
        <v>77404413</v>
      </c>
      <c r="F139" s="3">
        <v>45520977</v>
      </c>
      <c r="G139" s="4">
        <v>680720</v>
      </c>
      <c r="H139" s="4">
        <v>10349836</v>
      </c>
      <c r="I139" s="4">
        <v>1385666</v>
      </c>
    </row>
    <row r="140" spans="1:9" ht="17" hidden="1" x14ac:dyDescent="0.2">
      <c r="A140" s="16">
        <v>26</v>
      </c>
      <c r="B140" s="13" t="s">
        <v>25</v>
      </c>
      <c r="C140" s="1" t="s">
        <v>117</v>
      </c>
      <c r="D140" s="1">
        <v>27.7</v>
      </c>
      <c r="E140" s="3">
        <v>84481929</v>
      </c>
      <c r="F140" s="3">
        <v>60720646</v>
      </c>
      <c r="G140" s="1" t="s">
        <v>1</v>
      </c>
      <c r="H140" s="4">
        <v>12650273</v>
      </c>
      <c r="I140" s="4">
        <v>345353</v>
      </c>
    </row>
    <row r="141" spans="1:9" ht="17" hidden="1" x14ac:dyDescent="0.2">
      <c r="A141" s="16">
        <v>16</v>
      </c>
      <c r="B141" s="13" t="s">
        <v>25</v>
      </c>
      <c r="C141" s="1" t="s">
        <v>117</v>
      </c>
      <c r="D141" s="1">
        <v>28.1</v>
      </c>
      <c r="E141" s="3">
        <v>93008897</v>
      </c>
      <c r="F141" s="3">
        <v>78454465</v>
      </c>
      <c r="G141" s="4">
        <v>602603</v>
      </c>
      <c r="H141" s="4">
        <v>13776972</v>
      </c>
      <c r="I141" s="4">
        <v>37761</v>
      </c>
    </row>
    <row r="142" spans="1:9" ht="17" hidden="1" x14ac:dyDescent="0.2">
      <c r="A142" s="16">
        <v>24</v>
      </c>
      <c r="B142" s="13" t="s">
        <v>25</v>
      </c>
      <c r="C142" s="5" t="s">
        <v>117</v>
      </c>
      <c r="D142" s="5">
        <v>27.2</v>
      </c>
      <c r="E142" s="7">
        <v>76577243</v>
      </c>
      <c r="F142" s="7">
        <v>70583254</v>
      </c>
      <c r="G142" s="5" t="s">
        <v>1</v>
      </c>
      <c r="H142" s="8">
        <v>993989</v>
      </c>
      <c r="I142" s="5" t="s">
        <v>1</v>
      </c>
    </row>
    <row r="143" spans="1:9" ht="17" hidden="1" x14ac:dyDescent="0.2">
      <c r="A143" s="16">
        <v>26</v>
      </c>
      <c r="B143" s="13" t="s">
        <v>25</v>
      </c>
      <c r="C143" s="1" t="s">
        <v>117</v>
      </c>
      <c r="D143" s="1">
        <v>27.3</v>
      </c>
      <c r="E143" s="3">
        <v>55544993</v>
      </c>
      <c r="F143" s="3">
        <v>55544993</v>
      </c>
      <c r="G143" s="1" t="s">
        <v>1</v>
      </c>
      <c r="H143" s="1" t="s">
        <v>1</v>
      </c>
      <c r="I143" s="1" t="s">
        <v>1</v>
      </c>
    </row>
    <row r="144" spans="1:9" ht="17" hidden="1" x14ac:dyDescent="0.2">
      <c r="A144" s="16">
        <v>22</v>
      </c>
      <c r="B144" s="13" t="s">
        <v>20</v>
      </c>
      <c r="C144" s="1" t="s">
        <v>47</v>
      </c>
      <c r="D144" s="1">
        <v>26</v>
      </c>
      <c r="E144" s="3">
        <v>127325786</v>
      </c>
      <c r="F144" s="3">
        <v>60517751</v>
      </c>
      <c r="G144" s="4">
        <v>32700236</v>
      </c>
      <c r="H144" s="4">
        <v>1500000</v>
      </c>
      <c r="I144" s="4">
        <v>5608211</v>
      </c>
    </row>
    <row r="145" spans="1:9" ht="17" hidden="1" x14ac:dyDescent="0.2">
      <c r="A145" s="16">
        <v>17</v>
      </c>
      <c r="B145" s="13" t="s">
        <v>20</v>
      </c>
      <c r="C145" s="1" t="s">
        <v>61</v>
      </c>
      <c r="D145" s="1">
        <v>26.8</v>
      </c>
      <c r="E145" s="3">
        <v>147506521</v>
      </c>
      <c r="F145" s="3">
        <v>79626358</v>
      </c>
      <c r="G145" s="4">
        <v>51060000</v>
      </c>
      <c r="H145" s="1" t="s">
        <v>1</v>
      </c>
      <c r="I145" s="4">
        <v>3687580</v>
      </c>
    </row>
    <row r="146" spans="1:9" ht="17" hidden="1" x14ac:dyDescent="0.2">
      <c r="A146" s="16">
        <v>18</v>
      </c>
      <c r="B146" s="13" t="s">
        <v>20</v>
      </c>
      <c r="C146" s="1" t="s">
        <v>76</v>
      </c>
      <c r="D146" s="1">
        <v>28.1</v>
      </c>
      <c r="E146" s="3">
        <v>171240555</v>
      </c>
      <c r="F146" s="3">
        <v>75189475</v>
      </c>
      <c r="G146" s="4">
        <v>46898657</v>
      </c>
      <c r="H146" s="1" t="s">
        <v>1</v>
      </c>
      <c r="I146" s="4">
        <v>1539234</v>
      </c>
    </row>
    <row r="147" spans="1:9" ht="17" hidden="1" x14ac:dyDescent="0.2">
      <c r="A147" s="16">
        <v>19</v>
      </c>
      <c r="B147" s="13" t="s">
        <v>20</v>
      </c>
      <c r="C147" s="1" t="s">
        <v>86</v>
      </c>
      <c r="D147" s="1">
        <v>27.7</v>
      </c>
      <c r="E147" s="3">
        <v>140072825</v>
      </c>
      <c r="F147" s="3">
        <v>74270636</v>
      </c>
      <c r="G147" s="4">
        <v>56922808</v>
      </c>
      <c r="H147" s="1" t="s">
        <v>1</v>
      </c>
      <c r="I147" s="4">
        <v>1045476</v>
      </c>
    </row>
    <row r="148" spans="1:9" ht="17" hidden="1" x14ac:dyDescent="0.2">
      <c r="A148" s="16">
        <v>16</v>
      </c>
      <c r="B148" s="13" t="s">
        <v>20</v>
      </c>
      <c r="C148" s="1" t="s">
        <v>90</v>
      </c>
      <c r="D148" s="1">
        <v>27.7</v>
      </c>
      <c r="E148" s="3">
        <v>116285650</v>
      </c>
      <c r="F148" s="3">
        <v>79695422</v>
      </c>
      <c r="G148" s="4">
        <v>5931272</v>
      </c>
      <c r="H148" s="4">
        <v>2000000</v>
      </c>
      <c r="I148" s="4">
        <v>3087000</v>
      </c>
    </row>
    <row r="149" spans="1:9" ht="17" hidden="1" x14ac:dyDescent="0.2">
      <c r="A149" s="16">
        <v>25</v>
      </c>
      <c r="B149" s="13" t="s">
        <v>20</v>
      </c>
      <c r="C149" s="1" t="s">
        <v>98</v>
      </c>
      <c r="D149" s="1">
        <v>28.4</v>
      </c>
      <c r="E149" s="3">
        <v>67808533</v>
      </c>
      <c r="F149" s="3">
        <v>23940328</v>
      </c>
      <c r="G149" s="4">
        <v>17205744</v>
      </c>
      <c r="H149" s="4">
        <v>6000000</v>
      </c>
      <c r="I149" s="4">
        <v>958757</v>
      </c>
    </row>
    <row r="150" spans="1:9" ht="17" hidden="1" x14ac:dyDescent="0.2">
      <c r="A150" s="16">
        <v>9</v>
      </c>
      <c r="B150" s="13" t="s">
        <v>20</v>
      </c>
      <c r="C150" s="1" t="s">
        <v>48</v>
      </c>
      <c r="D150" s="1">
        <v>27.3</v>
      </c>
      <c r="E150" s="3">
        <v>157091013</v>
      </c>
      <c r="F150" s="3">
        <v>120506596</v>
      </c>
      <c r="G150" s="4">
        <v>12420904</v>
      </c>
      <c r="H150" s="4">
        <v>1500000</v>
      </c>
      <c r="I150" s="4">
        <v>6295273</v>
      </c>
    </row>
    <row r="151" spans="1:9" ht="17" hidden="1" x14ac:dyDescent="0.2">
      <c r="A151" s="16">
        <v>7</v>
      </c>
      <c r="B151" s="13" t="s">
        <v>20</v>
      </c>
      <c r="C151" s="1" t="s">
        <v>117</v>
      </c>
      <c r="D151" s="1">
        <v>28.3</v>
      </c>
      <c r="E151" s="3">
        <v>143968544</v>
      </c>
      <c r="F151" s="3">
        <v>131213168</v>
      </c>
      <c r="G151" s="4">
        <v>7545000</v>
      </c>
      <c r="H151" s="4">
        <v>150000</v>
      </c>
      <c r="I151" s="4">
        <v>767976</v>
      </c>
    </row>
    <row r="152" spans="1:9" ht="17" hidden="1" x14ac:dyDescent="0.2">
      <c r="A152" s="16">
        <v>15</v>
      </c>
      <c r="B152" s="13" t="s">
        <v>20</v>
      </c>
      <c r="C152" s="1" t="s">
        <v>117</v>
      </c>
      <c r="D152" s="1">
        <v>27.6</v>
      </c>
      <c r="E152" s="3">
        <v>139324341</v>
      </c>
      <c r="F152" s="3">
        <v>108204084</v>
      </c>
      <c r="G152" s="1" t="s">
        <v>1</v>
      </c>
      <c r="H152" s="1" t="s">
        <v>1</v>
      </c>
      <c r="I152" s="4">
        <v>676866</v>
      </c>
    </row>
    <row r="153" spans="1:9" ht="17" hidden="1" x14ac:dyDescent="0.2">
      <c r="A153" s="16">
        <v>17</v>
      </c>
      <c r="B153" s="13" t="s">
        <v>20</v>
      </c>
      <c r="C153" s="1" t="s">
        <v>117</v>
      </c>
      <c r="D153" s="1">
        <v>27.4</v>
      </c>
      <c r="E153" s="3">
        <v>107902280</v>
      </c>
      <c r="F153" s="3">
        <v>88354041</v>
      </c>
      <c r="G153" s="4">
        <v>1289832</v>
      </c>
      <c r="H153" s="4">
        <v>824871</v>
      </c>
      <c r="I153" s="4">
        <v>1548045</v>
      </c>
    </row>
    <row r="154" spans="1:9" ht="17" hidden="1" x14ac:dyDescent="0.2">
      <c r="A154" s="16">
        <v>20</v>
      </c>
      <c r="B154" s="13" t="s">
        <v>20</v>
      </c>
      <c r="C154" s="1" t="s">
        <v>117</v>
      </c>
      <c r="D154" s="1">
        <v>27.1</v>
      </c>
      <c r="E154" s="3">
        <v>101277051</v>
      </c>
      <c r="F154" s="3">
        <v>74930648</v>
      </c>
      <c r="G154" s="4">
        <v>6103870</v>
      </c>
      <c r="H154" s="4">
        <v>19940868</v>
      </c>
      <c r="I154" s="4">
        <v>301665</v>
      </c>
    </row>
    <row r="155" spans="1:9" ht="17" hidden="1" x14ac:dyDescent="0.2">
      <c r="A155" s="16">
        <v>16</v>
      </c>
      <c r="B155" s="13" t="s">
        <v>20</v>
      </c>
      <c r="C155" s="1" t="s">
        <v>117</v>
      </c>
      <c r="D155" s="1">
        <v>27.8</v>
      </c>
      <c r="E155" s="3">
        <v>96772365</v>
      </c>
      <c r="F155" s="3">
        <v>96456583</v>
      </c>
      <c r="G155" s="1" t="s">
        <v>1</v>
      </c>
      <c r="H155" s="1" t="s">
        <v>1</v>
      </c>
      <c r="I155" s="4">
        <v>112787</v>
      </c>
    </row>
    <row r="156" spans="1:9" ht="17" hidden="1" x14ac:dyDescent="0.2">
      <c r="A156" s="16">
        <v>19</v>
      </c>
      <c r="B156" s="13" t="s">
        <v>20</v>
      </c>
      <c r="C156" s="1" t="s">
        <v>117</v>
      </c>
      <c r="D156" s="1">
        <v>27.9</v>
      </c>
      <c r="E156" s="3">
        <v>79017288</v>
      </c>
      <c r="F156" s="3">
        <v>73766018</v>
      </c>
      <c r="G156" s="1" t="s">
        <v>1</v>
      </c>
      <c r="H156" s="4">
        <v>1250000</v>
      </c>
      <c r="I156" s="4">
        <v>3791565</v>
      </c>
    </row>
    <row r="157" spans="1:9" ht="17" hidden="1" x14ac:dyDescent="0.2">
      <c r="A157" s="16">
        <v>21</v>
      </c>
      <c r="B157" s="13" t="s">
        <v>20</v>
      </c>
      <c r="C157" s="1" t="s">
        <v>117</v>
      </c>
      <c r="D157" s="1">
        <v>27.2</v>
      </c>
      <c r="E157" s="3">
        <v>87232529</v>
      </c>
      <c r="F157" s="3">
        <v>76398104</v>
      </c>
      <c r="G157" s="1" t="s">
        <v>1</v>
      </c>
      <c r="H157" s="4">
        <v>1584425</v>
      </c>
      <c r="I157" s="1" t="s">
        <v>1</v>
      </c>
    </row>
    <row r="158" spans="1:9" s="9" customFormat="1" ht="17" hidden="1" x14ac:dyDescent="0.2">
      <c r="A158" s="16">
        <v>19</v>
      </c>
      <c r="B158" s="13" t="s">
        <v>20</v>
      </c>
      <c r="C158" s="1" t="s">
        <v>117</v>
      </c>
      <c r="D158" s="1">
        <v>27.8</v>
      </c>
      <c r="E158" s="3">
        <v>82897934</v>
      </c>
      <c r="F158" s="3">
        <v>77367736</v>
      </c>
      <c r="G158" s="1" t="s">
        <v>1</v>
      </c>
      <c r="H158" s="4">
        <v>3550000</v>
      </c>
      <c r="I158" s="1" t="s">
        <v>1</v>
      </c>
    </row>
    <row r="159" spans="1:9" ht="17" hidden="1" x14ac:dyDescent="0.2">
      <c r="A159" s="16">
        <v>14</v>
      </c>
      <c r="B159" s="13" t="s">
        <v>17</v>
      </c>
      <c r="C159" s="1" t="s">
        <v>37</v>
      </c>
      <c r="D159" s="1">
        <v>28.5</v>
      </c>
      <c r="E159" s="3">
        <v>157542361</v>
      </c>
      <c r="F159" s="3">
        <v>106720782</v>
      </c>
      <c r="G159" s="4">
        <v>27908427</v>
      </c>
      <c r="H159" s="4">
        <v>2000000</v>
      </c>
      <c r="I159" s="4">
        <v>4649896</v>
      </c>
    </row>
    <row r="160" spans="1:9" ht="17" hidden="1" x14ac:dyDescent="0.2">
      <c r="A160" s="16">
        <v>28</v>
      </c>
      <c r="B160" s="13" t="s">
        <v>17</v>
      </c>
      <c r="C160" s="1" t="s">
        <v>60</v>
      </c>
      <c r="D160" s="1">
        <v>26</v>
      </c>
      <c r="E160" s="3">
        <v>98607894</v>
      </c>
      <c r="F160" s="3">
        <v>33305299</v>
      </c>
      <c r="G160" s="4">
        <v>26677166</v>
      </c>
      <c r="H160" s="4">
        <v>8260000</v>
      </c>
      <c r="I160" s="4">
        <v>2628268</v>
      </c>
    </row>
    <row r="161" spans="1:9" ht="17" hidden="1" x14ac:dyDescent="0.2">
      <c r="A161" s="16">
        <v>16</v>
      </c>
      <c r="B161" s="13" t="s">
        <v>17</v>
      </c>
      <c r="C161" s="1" t="s">
        <v>42</v>
      </c>
      <c r="D161" s="1">
        <v>27.5</v>
      </c>
      <c r="E161" s="3">
        <v>121474919</v>
      </c>
      <c r="F161" s="3">
        <v>82473940</v>
      </c>
      <c r="G161" s="4">
        <v>20259107</v>
      </c>
      <c r="H161" s="1" t="s">
        <v>1</v>
      </c>
      <c r="I161" s="4">
        <v>3736550</v>
      </c>
    </row>
    <row r="162" spans="1:9" ht="17" hidden="1" x14ac:dyDescent="0.2">
      <c r="A162" s="16">
        <v>13</v>
      </c>
      <c r="B162" s="13" t="s">
        <v>17</v>
      </c>
      <c r="C162" s="1" t="s">
        <v>53</v>
      </c>
      <c r="D162" s="1">
        <v>27.5</v>
      </c>
      <c r="E162" s="3">
        <v>136248620</v>
      </c>
      <c r="F162" s="3">
        <v>105737597</v>
      </c>
      <c r="G162" s="4">
        <v>13003502</v>
      </c>
      <c r="H162" s="1" t="s">
        <v>1</v>
      </c>
      <c r="I162" s="4">
        <v>2374458</v>
      </c>
    </row>
    <row r="163" spans="1:9" ht="17" hidden="1" x14ac:dyDescent="0.2">
      <c r="A163" s="16">
        <v>17</v>
      </c>
      <c r="B163" s="13" t="s">
        <v>17</v>
      </c>
      <c r="C163" s="1" t="s">
        <v>51</v>
      </c>
      <c r="D163" s="1">
        <v>27.5</v>
      </c>
      <c r="E163" s="3">
        <v>86348945</v>
      </c>
      <c r="F163" s="3">
        <v>61408153</v>
      </c>
      <c r="G163" s="4">
        <v>13503703</v>
      </c>
      <c r="H163" s="1" t="s">
        <v>1</v>
      </c>
      <c r="I163" s="4">
        <v>3084337</v>
      </c>
    </row>
    <row r="164" spans="1:9" ht="17" hidden="1" x14ac:dyDescent="0.2">
      <c r="A164" s="16">
        <v>21</v>
      </c>
      <c r="B164" s="13" t="s">
        <v>17</v>
      </c>
      <c r="C164" s="1" t="s">
        <v>107</v>
      </c>
      <c r="D164" s="1">
        <v>26.7</v>
      </c>
      <c r="E164" s="3">
        <v>43164880</v>
      </c>
      <c r="F164" s="3">
        <v>29636694</v>
      </c>
      <c r="G164" s="4">
        <v>6108631</v>
      </c>
      <c r="H164" s="1" t="s">
        <v>1</v>
      </c>
      <c r="I164" s="4">
        <v>931329</v>
      </c>
    </row>
    <row r="165" spans="1:9" ht="17" hidden="1" x14ac:dyDescent="0.2">
      <c r="A165" s="16">
        <v>21</v>
      </c>
      <c r="B165" s="13" t="s">
        <v>17</v>
      </c>
      <c r="C165" s="1" t="s">
        <v>113</v>
      </c>
      <c r="D165" s="1">
        <v>26.8</v>
      </c>
      <c r="E165" s="3">
        <v>114631137</v>
      </c>
      <c r="F165" s="3">
        <v>72709746</v>
      </c>
      <c r="G165" s="4">
        <v>14738806</v>
      </c>
      <c r="H165" s="1" t="s">
        <v>1</v>
      </c>
      <c r="I165" s="4">
        <v>1034074</v>
      </c>
    </row>
    <row r="166" spans="1:9" ht="17" hidden="1" x14ac:dyDescent="0.2">
      <c r="A166" s="16">
        <v>24</v>
      </c>
      <c r="B166" s="13" t="s">
        <v>17</v>
      </c>
      <c r="C166" s="1" t="s">
        <v>117</v>
      </c>
      <c r="D166" s="1">
        <v>27.5</v>
      </c>
      <c r="E166" s="3">
        <v>130995349</v>
      </c>
      <c r="F166" s="3">
        <v>67047516</v>
      </c>
      <c r="G166" s="4">
        <v>37720870</v>
      </c>
      <c r="H166" s="1" t="s">
        <v>1</v>
      </c>
      <c r="I166" s="4">
        <v>1789604</v>
      </c>
    </row>
    <row r="167" spans="1:9" ht="17" hidden="1" x14ac:dyDescent="0.2">
      <c r="A167" s="16">
        <v>17</v>
      </c>
      <c r="B167" s="13" t="s">
        <v>17</v>
      </c>
      <c r="C167" s="1" t="s">
        <v>117</v>
      </c>
      <c r="D167" s="1">
        <v>27.1</v>
      </c>
      <c r="E167" s="3">
        <v>188828874</v>
      </c>
      <c r="F167" s="3">
        <v>91135320</v>
      </c>
      <c r="G167" s="4">
        <v>18000000</v>
      </c>
      <c r="H167" s="1" t="s">
        <v>1</v>
      </c>
      <c r="I167" s="4">
        <v>1818638</v>
      </c>
    </row>
    <row r="168" spans="1:9" ht="17" hidden="1" x14ac:dyDescent="0.2">
      <c r="A168" s="16">
        <v>5</v>
      </c>
      <c r="B168" s="13" t="s">
        <v>17</v>
      </c>
      <c r="C168" s="1" t="s">
        <v>117</v>
      </c>
      <c r="D168" s="1">
        <v>28.2</v>
      </c>
      <c r="E168" s="3">
        <v>200179285</v>
      </c>
      <c r="F168" s="3">
        <v>163019728</v>
      </c>
      <c r="G168" s="4">
        <v>28189200</v>
      </c>
      <c r="H168" s="4">
        <v>1047141</v>
      </c>
      <c r="I168" s="4">
        <v>295293</v>
      </c>
    </row>
    <row r="169" spans="1:9" ht="17" hidden="1" x14ac:dyDescent="0.2">
      <c r="A169" s="16">
        <v>8</v>
      </c>
      <c r="B169" s="13" t="s">
        <v>17</v>
      </c>
      <c r="C169" s="1" t="s">
        <v>117</v>
      </c>
      <c r="D169" s="1">
        <v>27.4</v>
      </c>
      <c r="E169" s="3">
        <v>162160921</v>
      </c>
      <c r="F169" s="3">
        <v>109879336</v>
      </c>
      <c r="G169" s="4">
        <v>27072978</v>
      </c>
      <c r="H169" s="4">
        <v>18495492</v>
      </c>
      <c r="I169" s="1" t="s">
        <v>1</v>
      </c>
    </row>
    <row r="170" spans="1:9" ht="17" hidden="1" x14ac:dyDescent="0.2">
      <c r="A170" s="16">
        <v>4</v>
      </c>
      <c r="B170" s="13" t="s">
        <v>17</v>
      </c>
      <c r="C170" s="1" t="s">
        <v>117</v>
      </c>
      <c r="D170" s="1">
        <v>27.8</v>
      </c>
      <c r="E170" s="3">
        <v>172143106</v>
      </c>
      <c r="F170" s="3">
        <v>148590789</v>
      </c>
      <c r="G170" s="4">
        <v>15800000</v>
      </c>
      <c r="H170" s="4">
        <v>2250000</v>
      </c>
      <c r="I170" s="4">
        <v>497070</v>
      </c>
    </row>
    <row r="171" spans="1:9" ht="17" hidden="1" x14ac:dyDescent="0.2">
      <c r="A171" s="16">
        <v>5</v>
      </c>
      <c r="B171" s="13" t="s">
        <v>17</v>
      </c>
      <c r="C171" s="1" t="s">
        <v>117</v>
      </c>
      <c r="D171" s="1">
        <v>28.4</v>
      </c>
      <c r="E171" s="3">
        <v>157332966</v>
      </c>
      <c r="F171" s="3">
        <v>151033294</v>
      </c>
      <c r="G171" s="4">
        <v>494000</v>
      </c>
      <c r="H171" s="4">
        <v>3292255</v>
      </c>
      <c r="I171" s="1" t="s">
        <v>1</v>
      </c>
    </row>
    <row r="172" spans="1:9" ht="17" hidden="1" x14ac:dyDescent="0.2">
      <c r="A172" s="16">
        <v>5</v>
      </c>
      <c r="B172" s="13" t="s">
        <v>17</v>
      </c>
      <c r="C172" s="5" t="s">
        <v>117</v>
      </c>
      <c r="D172" s="5">
        <v>27.2</v>
      </c>
      <c r="E172" s="7">
        <v>143782286</v>
      </c>
      <c r="F172" s="7">
        <v>138282286</v>
      </c>
      <c r="G172" s="5" t="s">
        <v>1</v>
      </c>
      <c r="H172" s="8">
        <v>5500000</v>
      </c>
      <c r="I172" s="5" t="s">
        <v>1</v>
      </c>
    </row>
    <row r="173" spans="1:9" ht="17" hidden="1" x14ac:dyDescent="0.2">
      <c r="A173" s="16">
        <v>9</v>
      </c>
      <c r="B173" s="13" t="s">
        <v>17</v>
      </c>
      <c r="C173" s="1" t="s">
        <v>117</v>
      </c>
      <c r="D173" s="1">
        <v>27.6</v>
      </c>
      <c r="E173" s="3">
        <v>111521015</v>
      </c>
      <c r="F173" s="3">
        <v>111271015</v>
      </c>
      <c r="G173" s="1" t="s">
        <v>1</v>
      </c>
      <c r="H173" s="4">
        <v>250000</v>
      </c>
      <c r="I173" s="1" t="s">
        <v>1</v>
      </c>
    </row>
    <row r="174" spans="1:9" ht="17" hidden="1" x14ac:dyDescent="0.2">
      <c r="A174" s="16">
        <v>23</v>
      </c>
      <c r="B174" s="13" t="s">
        <v>118</v>
      </c>
      <c r="C174" s="1" t="s">
        <v>117</v>
      </c>
      <c r="D174" s="1">
        <v>27.2</v>
      </c>
      <c r="E174" s="3">
        <v>65006851</v>
      </c>
      <c r="F174" s="3">
        <v>63006851</v>
      </c>
      <c r="G174" s="1" t="s">
        <v>1</v>
      </c>
      <c r="H174" s="4">
        <v>2000000</v>
      </c>
      <c r="I174" s="1" t="s">
        <v>1</v>
      </c>
    </row>
    <row r="175" spans="1:9" ht="17" hidden="1" x14ac:dyDescent="0.2">
      <c r="A175" s="16">
        <v>8</v>
      </c>
      <c r="B175" s="13" t="s">
        <v>7</v>
      </c>
      <c r="C175" s="1" t="s">
        <v>37</v>
      </c>
      <c r="D175" s="1">
        <v>28.6</v>
      </c>
      <c r="E175" s="3">
        <v>232140003</v>
      </c>
      <c r="F175" s="3">
        <v>139280023</v>
      </c>
      <c r="G175" s="4">
        <v>51185631</v>
      </c>
      <c r="H175" s="4">
        <v>701520</v>
      </c>
      <c r="I175" s="4">
        <v>5075621</v>
      </c>
    </row>
    <row r="176" spans="1:9" ht="17" hidden="1" x14ac:dyDescent="0.2">
      <c r="A176" s="16">
        <v>6</v>
      </c>
      <c r="B176" s="13" t="s">
        <v>7</v>
      </c>
      <c r="C176" s="1" t="s">
        <v>57</v>
      </c>
      <c r="D176" s="1">
        <v>29.2</v>
      </c>
      <c r="E176" s="3">
        <v>248670553</v>
      </c>
      <c r="F176" s="3">
        <v>168237929</v>
      </c>
      <c r="G176" s="4">
        <v>45109866</v>
      </c>
      <c r="H176" s="4">
        <v>1000000</v>
      </c>
      <c r="I176" s="4">
        <v>13654282</v>
      </c>
    </row>
    <row r="177" spans="1:9" ht="17" hidden="1" x14ac:dyDescent="0.2">
      <c r="A177" s="16">
        <v>2</v>
      </c>
      <c r="B177" s="13" t="s">
        <v>7</v>
      </c>
      <c r="C177" s="1" t="s">
        <v>36</v>
      </c>
      <c r="D177" s="1">
        <v>29.6</v>
      </c>
      <c r="E177" s="3">
        <v>237107748</v>
      </c>
      <c r="F177" s="3">
        <v>211270410</v>
      </c>
      <c r="G177" s="4">
        <v>16713200</v>
      </c>
      <c r="H177" s="1" t="s">
        <v>1</v>
      </c>
      <c r="I177" s="4">
        <v>2694138</v>
      </c>
    </row>
    <row r="178" spans="1:9" ht="17" hidden="1" x14ac:dyDescent="0.2">
      <c r="A178" s="16">
        <v>7</v>
      </c>
      <c r="B178" s="13" t="s">
        <v>7</v>
      </c>
      <c r="C178" s="1" t="s">
        <v>85</v>
      </c>
      <c r="D178" s="1">
        <v>29</v>
      </c>
      <c r="E178" s="3">
        <v>183791796</v>
      </c>
      <c r="F178" s="3">
        <v>145414730</v>
      </c>
      <c r="G178" s="4">
        <v>21550000</v>
      </c>
      <c r="H178" s="4">
        <v>1250000</v>
      </c>
      <c r="I178" s="4">
        <v>2135613</v>
      </c>
    </row>
    <row r="179" spans="1:9" ht="17" hidden="1" x14ac:dyDescent="0.2">
      <c r="A179" s="16">
        <v>3</v>
      </c>
      <c r="B179" s="13" t="s">
        <v>7</v>
      </c>
      <c r="C179" s="1" t="s">
        <v>55</v>
      </c>
      <c r="D179" s="1">
        <v>29</v>
      </c>
      <c r="E179" s="3">
        <v>194222042</v>
      </c>
      <c r="F179" s="3">
        <v>146877726</v>
      </c>
      <c r="G179" s="4">
        <v>39870546</v>
      </c>
      <c r="H179" s="4">
        <v>250000</v>
      </c>
      <c r="I179" s="4">
        <v>3339565</v>
      </c>
    </row>
    <row r="180" spans="1:9" ht="17" hidden="1" x14ac:dyDescent="0.2">
      <c r="A180" s="16">
        <v>4</v>
      </c>
      <c r="B180" s="13" t="s">
        <v>7</v>
      </c>
      <c r="C180" s="1" t="s">
        <v>96</v>
      </c>
      <c r="D180" s="1">
        <v>27.8</v>
      </c>
      <c r="E180" s="3">
        <v>82811819</v>
      </c>
      <c r="F180" s="3">
        <v>61406160</v>
      </c>
      <c r="G180" s="4">
        <v>18763334</v>
      </c>
      <c r="H180" s="4">
        <v>250000</v>
      </c>
      <c r="I180" s="4">
        <v>910844</v>
      </c>
    </row>
    <row r="181" spans="1:9" ht="17" hidden="1" x14ac:dyDescent="0.2">
      <c r="A181" s="16">
        <v>6</v>
      </c>
      <c r="B181" s="13" t="s">
        <v>7</v>
      </c>
      <c r="C181" s="1" t="s">
        <v>89</v>
      </c>
      <c r="D181" s="1">
        <v>28.5</v>
      </c>
      <c r="E181" s="3">
        <v>167138259</v>
      </c>
      <c r="F181" s="3">
        <v>153370215</v>
      </c>
      <c r="G181" s="4">
        <v>11713065</v>
      </c>
      <c r="H181" s="4">
        <v>562664</v>
      </c>
      <c r="I181" s="4">
        <v>277512</v>
      </c>
    </row>
    <row r="182" spans="1:9" ht="17" hidden="1" x14ac:dyDescent="0.2">
      <c r="A182" s="16">
        <v>3</v>
      </c>
      <c r="B182" s="13" t="s">
        <v>7</v>
      </c>
      <c r="C182" s="1" t="s">
        <v>117</v>
      </c>
      <c r="D182" s="1">
        <v>28.1</v>
      </c>
      <c r="E182" s="3">
        <v>163706636</v>
      </c>
      <c r="F182" s="3">
        <v>158702930</v>
      </c>
      <c r="G182" s="4">
        <v>556400</v>
      </c>
      <c r="H182" s="4">
        <v>936170</v>
      </c>
      <c r="I182" s="4">
        <v>420042</v>
      </c>
    </row>
    <row r="183" spans="1:9" ht="17" hidden="1" x14ac:dyDescent="0.2">
      <c r="A183" s="16">
        <v>8</v>
      </c>
      <c r="B183" s="13" t="s">
        <v>7</v>
      </c>
      <c r="C183" s="1" t="s">
        <v>117</v>
      </c>
      <c r="D183" s="1">
        <v>28.1</v>
      </c>
      <c r="E183" s="3">
        <v>138344211</v>
      </c>
      <c r="F183" s="3">
        <v>132170916</v>
      </c>
      <c r="G183" s="4">
        <v>835843</v>
      </c>
      <c r="H183" s="1" t="s">
        <v>1</v>
      </c>
      <c r="I183" s="4">
        <v>2052614</v>
      </c>
    </row>
    <row r="184" spans="1:9" ht="17" hidden="1" x14ac:dyDescent="0.2">
      <c r="A184" s="16">
        <v>19</v>
      </c>
      <c r="B184" s="13" t="s">
        <v>7</v>
      </c>
      <c r="C184" s="1" t="s">
        <v>117</v>
      </c>
      <c r="D184" s="1">
        <v>26.8</v>
      </c>
      <c r="E184" s="3">
        <v>99828742</v>
      </c>
      <c r="F184" s="3">
        <v>75441606</v>
      </c>
      <c r="G184" s="4">
        <v>6968124</v>
      </c>
      <c r="H184" s="4">
        <v>10119516</v>
      </c>
      <c r="I184" s="4">
        <v>2113693</v>
      </c>
    </row>
    <row r="185" spans="1:9" ht="17" hidden="1" x14ac:dyDescent="0.2">
      <c r="A185" s="16">
        <v>22</v>
      </c>
      <c r="B185" s="13" t="s">
        <v>7</v>
      </c>
      <c r="C185" s="1" t="s">
        <v>117</v>
      </c>
      <c r="D185" s="1">
        <v>27.6</v>
      </c>
      <c r="E185" s="3">
        <v>81450835</v>
      </c>
      <c r="F185" s="3">
        <v>64818398</v>
      </c>
      <c r="G185" s="4">
        <v>11040900</v>
      </c>
      <c r="H185" s="4">
        <v>3150680</v>
      </c>
      <c r="I185" s="4">
        <v>2440857</v>
      </c>
    </row>
    <row r="186" spans="1:9" ht="17" hidden="1" x14ac:dyDescent="0.2">
      <c r="A186" s="16">
        <v>29</v>
      </c>
      <c r="B186" s="13" t="s">
        <v>7</v>
      </c>
      <c r="C186" s="1" t="s">
        <v>117</v>
      </c>
      <c r="D186" s="1">
        <v>26.6</v>
      </c>
      <c r="E186" s="3">
        <v>52182183</v>
      </c>
      <c r="F186" s="3">
        <v>45734419</v>
      </c>
      <c r="G186" s="1" t="s">
        <v>1</v>
      </c>
      <c r="H186" s="4">
        <v>468033</v>
      </c>
      <c r="I186" s="4">
        <v>396174</v>
      </c>
    </row>
    <row r="187" spans="1:9" ht="17" hidden="1" x14ac:dyDescent="0.2">
      <c r="A187" s="16">
        <v>30</v>
      </c>
      <c r="B187" s="13" t="s">
        <v>7</v>
      </c>
      <c r="C187" s="1" t="s">
        <v>117</v>
      </c>
      <c r="D187" s="1">
        <v>25.3</v>
      </c>
      <c r="E187" s="3">
        <v>28727913</v>
      </c>
      <c r="F187" s="3">
        <v>12078450</v>
      </c>
      <c r="G187" s="1" t="s">
        <v>1</v>
      </c>
      <c r="H187" s="4">
        <v>5391059</v>
      </c>
      <c r="I187" s="4">
        <v>1086502</v>
      </c>
    </row>
    <row r="188" spans="1:9" s="9" customFormat="1" ht="17" hidden="1" x14ac:dyDescent="0.2">
      <c r="A188" s="16">
        <v>30</v>
      </c>
      <c r="B188" s="13" t="s">
        <v>7</v>
      </c>
      <c r="C188" s="1" t="s">
        <v>117</v>
      </c>
      <c r="D188" s="1">
        <v>26.1</v>
      </c>
      <c r="E188" s="3">
        <v>54067239</v>
      </c>
      <c r="F188" s="3">
        <v>23248500</v>
      </c>
      <c r="G188" s="1" t="s">
        <v>1</v>
      </c>
      <c r="H188" s="4">
        <v>250000</v>
      </c>
      <c r="I188" s="1" t="s">
        <v>1</v>
      </c>
    </row>
    <row r="189" spans="1:9" ht="17" hidden="1" x14ac:dyDescent="0.2">
      <c r="A189" s="16">
        <v>20</v>
      </c>
      <c r="B189" s="13" t="s">
        <v>7</v>
      </c>
      <c r="C189" s="1" t="s">
        <v>117</v>
      </c>
      <c r="D189" s="1">
        <v>27.2</v>
      </c>
      <c r="E189" s="3">
        <v>84598388</v>
      </c>
      <c r="F189" s="3">
        <v>71121885</v>
      </c>
      <c r="G189" s="1" t="s">
        <v>1</v>
      </c>
      <c r="H189" s="4">
        <v>4000000</v>
      </c>
      <c r="I189" s="1" t="s">
        <v>1</v>
      </c>
    </row>
    <row r="190" spans="1:9" ht="17" hidden="1" x14ac:dyDescent="0.2">
      <c r="A190" s="16">
        <v>18</v>
      </c>
      <c r="B190" s="13" t="s">
        <v>16</v>
      </c>
      <c r="C190" s="1" t="s">
        <v>44</v>
      </c>
      <c r="D190" s="1">
        <v>28.5</v>
      </c>
      <c r="E190" s="3">
        <v>133630058</v>
      </c>
      <c r="F190" s="3">
        <v>86341302</v>
      </c>
      <c r="G190" s="4">
        <v>26724341</v>
      </c>
      <c r="H190" s="4">
        <v>1500000</v>
      </c>
      <c r="I190" s="4">
        <v>2640601</v>
      </c>
    </row>
    <row r="191" spans="1:9" ht="17" hidden="1" x14ac:dyDescent="0.2">
      <c r="A191" s="16">
        <v>16</v>
      </c>
      <c r="B191" s="13" t="s">
        <v>16</v>
      </c>
      <c r="C191" s="1" t="s">
        <v>60</v>
      </c>
      <c r="D191" s="1">
        <v>29.4</v>
      </c>
      <c r="E191" s="3">
        <v>125570914</v>
      </c>
      <c r="F191" s="3">
        <v>85110948</v>
      </c>
      <c r="G191" s="4">
        <v>14486000</v>
      </c>
      <c r="H191" s="4">
        <v>2500000</v>
      </c>
      <c r="I191" s="4">
        <v>2386442</v>
      </c>
    </row>
    <row r="192" spans="1:9" ht="17" hidden="1" x14ac:dyDescent="0.2">
      <c r="A192" s="16">
        <v>23</v>
      </c>
      <c r="B192" s="13" t="s">
        <v>16</v>
      </c>
      <c r="C192" s="1" t="s">
        <v>78</v>
      </c>
      <c r="D192" s="1">
        <v>26.7</v>
      </c>
      <c r="E192" s="3">
        <v>96083853</v>
      </c>
      <c r="F192" s="3">
        <v>54242001</v>
      </c>
      <c r="G192" s="4">
        <v>17014952</v>
      </c>
      <c r="H192" s="1" t="s">
        <v>1</v>
      </c>
      <c r="I192" s="4">
        <v>2167329</v>
      </c>
    </row>
    <row r="193" spans="1:9" ht="17" hidden="1" x14ac:dyDescent="0.2">
      <c r="A193" s="16">
        <v>20</v>
      </c>
      <c r="B193" s="13" t="s">
        <v>16</v>
      </c>
      <c r="C193" s="1" t="s">
        <v>87</v>
      </c>
      <c r="D193" s="1">
        <v>26.4</v>
      </c>
      <c r="E193" s="3">
        <v>92613711</v>
      </c>
      <c r="F193" s="3">
        <v>62728828</v>
      </c>
      <c r="G193" s="4">
        <v>6413200</v>
      </c>
      <c r="H193" s="4">
        <v>1000000</v>
      </c>
      <c r="I193" s="4">
        <v>1955673</v>
      </c>
    </row>
    <row r="194" spans="1:9" ht="17" hidden="1" x14ac:dyDescent="0.2">
      <c r="A194" s="16">
        <v>20</v>
      </c>
      <c r="B194" s="13" t="s">
        <v>16</v>
      </c>
      <c r="C194" s="1" t="s">
        <v>58</v>
      </c>
      <c r="D194" s="1">
        <v>27.4</v>
      </c>
      <c r="E194" s="3">
        <v>91595545</v>
      </c>
      <c r="F194" s="3">
        <v>52514932</v>
      </c>
      <c r="G194" s="4">
        <v>15758956</v>
      </c>
      <c r="H194" s="1" t="s">
        <v>1</v>
      </c>
      <c r="I194" s="4">
        <v>1580873</v>
      </c>
    </row>
    <row r="195" spans="1:9" ht="17" hidden="1" x14ac:dyDescent="0.2">
      <c r="A195" s="16">
        <v>24</v>
      </c>
      <c r="B195" s="13" t="s">
        <v>16</v>
      </c>
      <c r="C195" s="1" t="s">
        <v>98</v>
      </c>
      <c r="D195" s="1">
        <v>26.9</v>
      </c>
      <c r="E195" s="3">
        <v>34934696</v>
      </c>
      <c r="F195" s="3">
        <v>25320148</v>
      </c>
      <c r="G195" s="4">
        <v>7094043</v>
      </c>
      <c r="H195" s="4">
        <v>1000000</v>
      </c>
      <c r="I195" s="4">
        <v>1056391</v>
      </c>
    </row>
    <row r="196" spans="1:9" ht="17" hidden="1" x14ac:dyDescent="0.2">
      <c r="A196" s="16">
        <v>22</v>
      </c>
      <c r="B196" s="13" t="s">
        <v>16</v>
      </c>
      <c r="C196" s="1" t="s">
        <v>76</v>
      </c>
      <c r="D196" s="1">
        <v>26.5</v>
      </c>
      <c r="E196" s="3">
        <v>104773003</v>
      </c>
      <c r="F196" s="3">
        <v>68625332</v>
      </c>
      <c r="G196" s="4">
        <v>11895598</v>
      </c>
      <c r="H196" s="4">
        <v>8275000</v>
      </c>
      <c r="I196" s="4">
        <v>1044688</v>
      </c>
    </row>
    <row r="197" spans="1:9" ht="17" hidden="1" x14ac:dyDescent="0.2">
      <c r="A197" s="16">
        <v>17</v>
      </c>
      <c r="B197" s="13" t="s">
        <v>16</v>
      </c>
      <c r="C197" s="1" t="s">
        <v>117</v>
      </c>
      <c r="D197" s="1">
        <v>26.7</v>
      </c>
      <c r="E197" s="3">
        <v>129944821</v>
      </c>
      <c r="F197" s="3">
        <v>83618228</v>
      </c>
      <c r="G197" s="4">
        <v>7189167</v>
      </c>
      <c r="H197" s="4">
        <v>2000000</v>
      </c>
      <c r="I197" s="4">
        <v>1325521</v>
      </c>
    </row>
    <row r="198" spans="1:9" ht="17" hidden="1" x14ac:dyDescent="0.2">
      <c r="A198" s="16">
        <v>11</v>
      </c>
      <c r="B198" s="13" t="s">
        <v>16</v>
      </c>
      <c r="C198" s="1" t="s">
        <v>117</v>
      </c>
      <c r="D198" s="1">
        <v>28.3</v>
      </c>
      <c r="E198" s="3">
        <v>148227822</v>
      </c>
      <c r="F198" s="3">
        <v>125678691</v>
      </c>
      <c r="G198" s="4">
        <v>1046749</v>
      </c>
      <c r="H198" s="4">
        <v>9500000</v>
      </c>
      <c r="I198" s="4">
        <v>1536867</v>
      </c>
    </row>
    <row r="199" spans="1:9" ht="17" hidden="1" x14ac:dyDescent="0.2">
      <c r="A199" s="16">
        <v>13</v>
      </c>
      <c r="B199" s="13" t="s">
        <v>16</v>
      </c>
      <c r="C199" s="1" t="s">
        <v>117</v>
      </c>
      <c r="D199" s="1">
        <v>28.3</v>
      </c>
      <c r="E199" s="3">
        <v>141587358</v>
      </c>
      <c r="F199" s="3">
        <v>106349212</v>
      </c>
      <c r="G199" s="4">
        <v>20825000</v>
      </c>
      <c r="H199" s="4">
        <v>14210664</v>
      </c>
      <c r="I199" s="4">
        <v>202482</v>
      </c>
    </row>
    <row r="200" spans="1:9" ht="17" hidden="1" x14ac:dyDescent="0.2">
      <c r="A200" s="16">
        <v>7</v>
      </c>
      <c r="B200" s="13" t="s">
        <v>16</v>
      </c>
      <c r="C200" s="1" t="s">
        <v>117</v>
      </c>
      <c r="D200" s="1">
        <v>28.8</v>
      </c>
      <c r="E200" s="3">
        <v>126391174</v>
      </c>
      <c r="F200" s="3">
        <v>111740891</v>
      </c>
      <c r="G200" s="4">
        <v>10483450</v>
      </c>
      <c r="H200" s="4">
        <v>4047582</v>
      </c>
      <c r="I200" s="4">
        <v>119251</v>
      </c>
    </row>
    <row r="201" spans="1:9" ht="17" hidden="1" x14ac:dyDescent="0.2">
      <c r="A201" s="16">
        <v>18</v>
      </c>
      <c r="B201" s="13" t="s">
        <v>16</v>
      </c>
      <c r="C201" s="1" t="s">
        <v>117</v>
      </c>
      <c r="D201" s="1">
        <v>28.7</v>
      </c>
      <c r="E201" s="3">
        <v>98558300</v>
      </c>
      <c r="F201" s="3">
        <v>90536848</v>
      </c>
      <c r="G201" s="1" t="s">
        <v>1</v>
      </c>
      <c r="H201" s="4">
        <v>4337271</v>
      </c>
      <c r="I201" s="4">
        <v>3335000</v>
      </c>
    </row>
    <row r="202" spans="1:9" ht="17" hidden="1" x14ac:dyDescent="0.2">
      <c r="A202" s="16">
        <v>18</v>
      </c>
      <c r="B202" s="13" t="s">
        <v>16</v>
      </c>
      <c r="C202" s="5" t="s">
        <v>117</v>
      </c>
      <c r="D202" s="5">
        <v>28.2</v>
      </c>
      <c r="E202" s="7">
        <v>84398434</v>
      </c>
      <c r="F202" s="7">
        <v>76594673</v>
      </c>
      <c r="G202" s="5" t="s">
        <v>1</v>
      </c>
      <c r="H202" s="8">
        <v>6399663</v>
      </c>
      <c r="I202" s="8">
        <v>1404098</v>
      </c>
    </row>
    <row r="203" spans="1:9" ht="17" hidden="1" x14ac:dyDescent="0.2">
      <c r="A203" s="16">
        <v>26</v>
      </c>
      <c r="B203" s="13" t="s">
        <v>16</v>
      </c>
      <c r="C203" s="1" t="s">
        <v>117</v>
      </c>
      <c r="D203" s="1">
        <v>26.4</v>
      </c>
      <c r="E203" s="3">
        <v>70344235</v>
      </c>
      <c r="F203" s="3">
        <v>66385000</v>
      </c>
      <c r="G203" s="1" t="s">
        <v>1</v>
      </c>
      <c r="H203" s="1" t="s">
        <v>1</v>
      </c>
      <c r="I203" s="4">
        <v>1380000</v>
      </c>
    </row>
    <row r="204" spans="1:9" ht="17" hidden="1" x14ac:dyDescent="0.2">
      <c r="A204" s="16">
        <v>30</v>
      </c>
      <c r="B204" s="13" t="s">
        <v>16</v>
      </c>
      <c r="C204" s="1" t="s">
        <v>117</v>
      </c>
      <c r="D204" s="1">
        <v>26.1</v>
      </c>
      <c r="E204" s="3">
        <v>52072804</v>
      </c>
      <c r="F204" s="3">
        <v>38273131</v>
      </c>
      <c r="G204" s="1" t="s">
        <v>1</v>
      </c>
      <c r="H204" s="1" t="s">
        <v>1</v>
      </c>
      <c r="I204" s="4">
        <v>1380000</v>
      </c>
    </row>
    <row r="205" spans="1:9" ht="17" hidden="1" x14ac:dyDescent="0.2">
      <c r="A205" s="16">
        <v>15</v>
      </c>
      <c r="B205" s="13" t="s">
        <v>13</v>
      </c>
      <c r="C205" s="1" t="s">
        <v>41</v>
      </c>
      <c r="D205" s="1">
        <v>27.5</v>
      </c>
      <c r="E205" s="3">
        <v>208420995</v>
      </c>
      <c r="F205" s="3">
        <v>99015619</v>
      </c>
      <c r="G205" s="4">
        <v>88166299</v>
      </c>
      <c r="H205" s="4">
        <v>2000000</v>
      </c>
      <c r="I205" s="4">
        <v>11676458</v>
      </c>
    </row>
    <row r="206" spans="1:9" ht="17" hidden="1" x14ac:dyDescent="0.2">
      <c r="A206" s="16">
        <v>26</v>
      </c>
      <c r="B206" s="13" t="s">
        <v>13</v>
      </c>
      <c r="C206" s="1" t="s">
        <v>65</v>
      </c>
      <c r="D206" s="1">
        <v>27.4</v>
      </c>
      <c r="E206" s="3">
        <v>171986921</v>
      </c>
      <c r="F206" s="3">
        <v>39880367</v>
      </c>
      <c r="G206" s="4">
        <v>108620160</v>
      </c>
      <c r="H206" s="4">
        <v>2500000</v>
      </c>
      <c r="I206" s="4">
        <v>5873804</v>
      </c>
    </row>
    <row r="207" spans="1:9" ht="17" hidden="1" x14ac:dyDescent="0.2">
      <c r="A207" s="16">
        <v>28</v>
      </c>
      <c r="B207" s="13" t="s">
        <v>13</v>
      </c>
      <c r="C207" s="1" t="s">
        <v>81</v>
      </c>
      <c r="D207" s="1">
        <v>26.8</v>
      </c>
      <c r="E207" s="3">
        <v>230534276</v>
      </c>
      <c r="F207" s="3">
        <v>43769159</v>
      </c>
      <c r="G207" s="4">
        <v>147537321</v>
      </c>
      <c r="H207" s="1" t="s">
        <v>1</v>
      </c>
      <c r="I207" s="4">
        <v>3984515</v>
      </c>
    </row>
    <row r="208" spans="1:9" ht="17" hidden="1" x14ac:dyDescent="0.2">
      <c r="A208" s="16">
        <v>11</v>
      </c>
      <c r="B208" s="13" t="s">
        <v>13</v>
      </c>
      <c r="C208" s="1" t="s">
        <v>81</v>
      </c>
      <c r="D208" s="1">
        <v>27.7</v>
      </c>
      <c r="E208" s="3">
        <v>179877811</v>
      </c>
      <c r="F208" s="3">
        <v>118104253</v>
      </c>
      <c r="G208" s="4">
        <v>6978028</v>
      </c>
      <c r="H208" s="1" t="s">
        <v>1</v>
      </c>
      <c r="I208" s="4">
        <v>5027486</v>
      </c>
    </row>
    <row r="209" spans="1:9" ht="17" hidden="1" x14ac:dyDescent="0.2">
      <c r="A209" s="16">
        <v>25</v>
      </c>
      <c r="B209" s="13" t="s">
        <v>13</v>
      </c>
      <c r="C209" s="1" t="s">
        <v>51</v>
      </c>
      <c r="D209" s="1">
        <v>28.7</v>
      </c>
      <c r="E209" s="3">
        <v>183849560</v>
      </c>
      <c r="F209" s="3">
        <v>33967088</v>
      </c>
      <c r="G209" s="4">
        <v>100777679</v>
      </c>
      <c r="H209" s="1" t="s">
        <v>1</v>
      </c>
      <c r="I209" s="4">
        <v>2441674</v>
      </c>
    </row>
    <row r="210" spans="1:9" ht="17" hidden="1" x14ac:dyDescent="0.2">
      <c r="A210" s="16">
        <v>6</v>
      </c>
      <c r="B210" s="13" t="s">
        <v>13</v>
      </c>
      <c r="C210" s="1" t="s">
        <v>98</v>
      </c>
      <c r="D210" s="1">
        <v>28</v>
      </c>
      <c r="E210" s="3">
        <v>67040893</v>
      </c>
      <c r="F210" s="3">
        <v>56821306</v>
      </c>
      <c r="G210" s="4">
        <v>509650</v>
      </c>
      <c r="H210" s="4">
        <v>1000000</v>
      </c>
      <c r="I210" s="4">
        <v>596339</v>
      </c>
    </row>
    <row r="211" spans="1:9" ht="17" hidden="1" x14ac:dyDescent="0.2">
      <c r="A211" s="16">
        <v>10</v>
      </c>
      <c r="B211" s="13" t="s">
        <v>13</v>
      </c>
      <c r="C211" s="1" t="s">
        <v>41</v>
      </c>
      <c r="D211" s="1">
        <v>27.2</v>
      </c>
      <c r="E211" s="3">
        <v>160270385</v>
      </c>
      <c r="F211" s="3">
        <v>118016581</v>
      </c>
      <c r="G211" s="4">
        <v>15868930</v>
      </c>
      <c r="H211" s="1" t="s">
        <v>1</v>
      </c>
      <c r="I211" s="4">
        <v>2420120</v>
      </c>
    </row>
    <row r="212" spans="1:9" ht="17" hidden="1" x14ac:dyDescent="0.2">
      <c r="A212" s="16">
        <v>15</v>
      </c>
      <c r="B212" s="13" t="s">
        <v>13</v>
      </c>
      <c r="C212" s="1" t="s">
        <v>117</v>
      </c>
      <c r="D212" s="1">
        <v>27.5</v>
      </c>
      <c r="E212" s="3">
        <v>173717599</v>
      </c>
      <c r="F212" s="3">
        <v>91914083</v>
      </c>
      <c r="G212" s="4">
        <v>57532566</v>
      </c>
      <c r="H212" s="4">
        <v>2000000</v>
      </c>
      <c r="I212" s="4">
        <v>143570</v>
      </c>
    </row>
    <row r="213" spans="1:9" ht="17" hidden="1" x14ac:dyDescent="0.2">
      <c r="A213" s="16">
        <v>14</v>
      </c>
      <c r="B213" s="13" t="s">
        <v>13</v>
      </c>
      <c r="C213" s="1" t="s">
        <v>117</v>
      </c>
      <c r="D213" s="1">
        <v>28.9</v>
      </c>
      <c r="E213" s="3">
        <v>166161209</v>
      </c>
      <c r="F213" s="3">
        <v>114610825</v>
      </c>
      <c r="G213" s="4">
        <v>16095730</v>
      </c>
      <c r="H213" s="1" t="s">
        <v>1</v>
      </c>
      <c r="I213" s="4">
        <v>631368</v>
      </c>
    </row>
    <row r="214" spans="1:9" ht="17" hidden="1" x14ac:dyDescent="0.2">
      <c r="A214" s="16">
        <v>15</v>
      </c>
      <c r="B214" s="13" t="s">
        <v>13</v>
      </c>
      <c r="C214" s="1" t="s">
        <v>117</v>
      </c>
      <c r="D214" s="1">
        <v>27.7</v>
      </c>
      <c r="E214" s="3">
        <v>174290373</v>
      </c>
      <c r="F214" s="3">
        <v>89811509</v>
      </c>
      <c r="G214" s="4">
        <v>39667205</v>
      </c>
      <c r="H214" s="4">
        <v>3616638</v>
      </c>
      <c r="I214" s="4">
        <v>2484469</v>
      </c>
    </row>
    <row r="215" spans="1:9" ht="17" hidden="1" x14ac:dyDescent="0.2">
      <c r="A215" s="16">
        <v>11</v>
      </c>
      <c r="B215" s="13" t="s">
        <v>13</v>
      </c>
      <c r="C215" s="1" t="s">
        <v>117</v>
      </c>
      <c r="D215" s="1">
        <v>28</v>
      </c>
      <c r="E215" s="3">
        <v>143348162</v>
      </c>
      <c r="F215" s="3">
        <v>106512083</v>
      </c>
      <c r="G215" s="4">
        <v>19015000</v>
      </c>
      <c r="H215" s="4">
        <v>500000</v>
      </c>
      <c r="I215" s="4">
        <v>1777357</v>
      </c>
    </row>
    <row r="216" spans="1:9" ht="17" hidden="1" x14ac:dyDescent="0.2">
      <c r="A216" s="16">
        <v>7</v>
      </c>
      <c r="B216" s="13" t="s">
        <v>13</v>
      </c>
      <c r="C216" s="1" t="s">
        <v>117</v>
      </c>
      <c r="D216" s="1">
        <v>28.6</v>
      </c>
      <c r="E216" s="3">
        <v>165244781</v>
      </c>
      <c r="F216" s="3">
        <v>132293502</v>
      </c>
      <c r="G216" s="1" t="s">
        <v>1</v>
      </c>
      <c r="H216" s="4">
        <v>31681858</v>
      </c>
      <c r="I216" s="4">
        <v>900000</v>
      </c>
    </row>
    <row r="217" spans="1:9" ht="17" hidden="1" x14ac:dyDescent="0.2">
      <c r="A217" s="16">
        <v>9</v>
      </c>
      <c r="B217" s="13" t="s">
        <v>13</v>
      </c>
      <c r="C217" s="1" t="s">
        <v>117</v>
      </c>
      <c r="D217" s="1">
        <v>27.7</v>
      </c>
      <c r="E217" s="3">
        <v>141542644</v>
      </c>
      <c r="F217" s="3">
        <v>117426989</v>
      </c>
      <c r="G217" s="1" t="s">
        <v>1</v>
      </c>
      <c r="H217" s="4">
        <v>17882513</v>
      </c>
      <c r="I217" s="4">
        <v>270484</v>
      </c>
    </row>
    <row r="218" spans="1:9" s="9" customFormat="1" ht="17" hidden="1" x14ac:dyDescent="0.2">
      <c r="A218" s="16">
        <v>4</v>
      </c>
      <c r="B218" s="13" t="s">
        <v>13</v>
      </c>
      <c r="C218" s="1" t="s">
        <v>117</v>
      </c>
      <c r="D218" s="1">
        <v>28.4</v>
      </c>
      <c r="E218" s="3">
        <v>157168625</v>
      </c>
      <c r="F218" s="3">
        <v>153844690</v>
      </c>
      <c r="G218" s="1" t="s">
        <v>1</v>
      </c>
      <c r="H218" s="1" t="s">
        <v>1</v>
      </c>
      <c r="I218" s="1" t="s">
        <v>1</v>
      </c>
    </row>
    <row r="219" spans="1:9" ht="17" hidden="1" x14ac:dyDescent="0.2">
      <c r="A219" s="16">
        <v>4</v>
      </c>
      <c r="B219" s="13" t="s">
        <v>13</v>
      </c>
      <c r="C219" s="1" t="s">
        <v>117</v>
      </c>
      <c r="D219" s="1">
        <v>27.7</v>
      </c>
      <c r="E219" s="3">
        <v>146234559</v>
      </c>
      <c r="F219" s="3">
        <v>133199959</v>
      </c>
      <c r="G219" s="1" t="s">
        <v>1</v>
      </c>
      <c r="H219" s="4">
        <v>1234600</v>
      </c>
      <c r="I219" s="1" t="s">
        <v>1</v>
      </c>
    </row>
    <row r="220" spans="1:9" ht="17" hidden="1" x14ac:dyDescent="0.2">
      <c r="A220" s="16">
        <v>1</v>
      </c>
      <c r="B220" s="13" t="s">
        <v>0</v>
      </c>
      <c r="C220" s="1" t="s">
        <v>31</v>
      </c>
      <c r="D220" s="1">
        <v>29.5</v>
      </c>
      <c r="E220" s="3">
        <v>350024106</v>
      </c>
      <c r="F220" s="3">
        <v>268807958</v>
      </c>
      <c r="G220" s="4">
        <v>48883969</v>
      </c>
      <c r="H220" s="1" t="s">
        <v>1</v>
      </c>
      <c r="I220" s="4">
        <v>1753867</v>
      </c>
    </row>
    <row r="221" spans="1:9" ht="17" hidden="1" x14ac:dyDescent="0.2">
      <c r="A221" s="16">
        <v>3</v>
      </c>
      <c r="B221" s="13" t="s">
        <v>0</v>
      </c>
      <c r="C221" s="1" t="s">
        <v>56</v>
      </c>
      <c r="D221" s="1">
        <v>30.4</v>
      </c>
      <c r="E221" s="3">
        <v>266640208</v>
      </c>
      <c r="F221" s="3">
        <v>198627830</v>
      </c>
      <c r="G221" s="4">
        <v>37949016</v>
      </c>
      <c r="H221" s="4">
        <v>1100000</v>
      </c>
      <c r="I221" s="4">
        <v>2616901</v>
      </c>
    </row>
    <row r="222" spans="1:9" ht="17" hidden="1" x14ac:dyDescent="0.2">
      <c r="A222" s="16">
        <v>8</v>
      </c>
      <c r="B222" s="13" t="s">
        <v>0</v>
      </c>
      <c r="C222" s="1" t="s">
        <v>75</v>
      </c>
      <c r="D222" s="1">
        <v>30</v>
      </c>
      <c r="E222" s="3">
        <v>235747111</v>
      </c>
      <c r="F222" s="3">
        <v>144170915</v>
      </c>
      <c r="G222" s="4">
        <v>33764202</v>
      </c>
      <c r="H222" s="4">
        <v>1000000</v>
      </c>
      <c r="I222" s="4">
        <v>1294237</v>
      </c>
    </row>
    <row r="223" spans="1:9" ht="17" hidden="1" x14ac:dyDescent="0.2">
      <c r="A223" s="16">
        <v>2</v>
      </c>
      <c r="B223" s="13" t="s">
        <v>0</v>
      </c>
      <c r="C223" s="1" t="s">
        <v>84</v>
      </c>
      <c r="D223" s="1">
        <v>29.5</v>
      </c>
      <c r="E223" s="3">
        <v>264996019</v>
      </c>
      <c r="F223" s="3">
        <v>225618515</v>
      </c>
      <c r="G223" s="4">
        <v>28920266</v>
      </c>
      <c r="H223" s="4">
        <v>2250000</v>
      </c>
      <c r="I223" s="4">
        <v>1256241</v>
      </c>
    </row>
    <row r="224" spans="1:9" ht="17" hidden="1" x14ac:dyDescent="0.2">
      <c r="A224" s="16">
        <v>2</v>
      </c>
      <c r="B224" s="13" t="s">
        <v>0</v>
      </c>
      <c r="C224" s="1" t="s">
        <v>85</v>
      </c>
      <c r="D224" s="1">
        <v>28.9</v>
      </c>
      <c r="E224" s="3">
        <v>261320507</v>
      </c>
      <c r="F224" s="3">
        <v>170835123</v>
      </c>
      <c r="G224" s="4">
        <v>37823684</v>
      </c>
      <c r="H224" s="4">
        <v>4500000</v>
      </c>
      <c r="I224" s="4">
        <v>15374310</v>
      </c>
    </row>
    <row r="225" spans="1:9" ht="17" hidden="1" x14ac:dyDescent="0.2">
      <c r="A225" s="16">
        <v>1</v>
      </c>
      <c r="B225" s="13" t="s">
        <v>0</v>
      </c>
      <c r="C225" s="1" t="s">
        <v>93</v>
      </c>
      <c r="D225" s="1">
        <v>28</v>
      </c>
      <c r="E225" s="3">
        <v>124917397</v>
      </c>
      <c r="F225" s="3">
        <v>94165961</v>
      </c>
      <c r="G225" s="4">
        <v>493889</v>
      </c>
      <c r="H225" s="4">
        <v>4666667</v>
      </c>
      <c r="I225" s="4">
        <v>7205387</v>
      </c>
    </row>
    <row r="226" spans="1:9" ht="17" hidden="1" x14ac:dyDescent="0.2">
      <c r="A226" s="16">
        <v>4</v>
      </c>
      <c r="B226" s="13" t="s">
        <v>0</v>
      </c>
      <c r="C226" s="1" t="s">
        <v>85</v>
      </c>
      <c r="D226" s="1">
        <v>28.3</v>
      </c>
      <c r="E226" s="3">
        <v>207000814</v>
      </c>
      <c r="F226" s="3">
        <v>157394622</v>
      </c>
      <c r="G226" s="4">
        <v>1341835</v>
      </c>
      <c r="H226" s="4">
        <v>6616666</v>
      </c>
      <c r="I226" s="4">
        <v>5736477</v>
      </c>
    </row>
    <row r="227" spans="1:9" ht="17" hidden="1" x14ac:dyDescent="0.2">
      <c r="A227" s="16">
        <v>2</v>
      </c>
      <c r="B227" s="13" t="s">
        <v>0</v>
      </c>
      <c r="C227" s="1" t="s">
        <v>117</v>
      </c>
      <c r="D227" s="1">
        <v>28.8</v>
      </c>
      <c r="E227" s="3">
        <v>199582045</v>
      </c>
      <c r="F227" s="3">
        <v>160502596</v>
      </c>
      <c r="G227" s="4">
        <v>3908850</v>
      </c>
      <c r="H227" s="4">
        <v>9216666</v>
      </c>
      <c r="I227" s="4">
        <v>4628920</v>
      </c>
    </row>
    <row r="228" spans="1:9" ht="17" hidden="1" x14ac:dyDescent="0.2">
      <c r="A228" s="16">
        <v>1</v>
      </c>
      <c r="B228" s="13" t="s">
        <v>0</v>
      </c>
      <c r="C228" s="1" t="s">
        <v>117</v>
      </c>
      <c r="D228" s="1">
        <v>28.5</v>
      </c>
      <c r="E228" s="3">
        <v>259302593</v>
      </c>
      <c r="F228" s="3">
        <v>184420291</v>
      </c>
      <c r="G228" s="4">
        <v>22654516</v>
      </c>
      <c r="H228" s="4">
        <v>34273808</v>
      </c>
      <c r="I228" s="4">
        <v>10735130</v>
      </c>
    </row>
    <row r="229" spans="1:9" ht="17" hidden="1" x14ac:dyDescent="0.2">
      <c r="A229" s="16">
        <v>1</v>
      </c>
      <c r="B229" s="13" t="s">
        <v>0</v>
      </c>
      <c r="C229" s="1" t="s">
        <v>117</v>
      </c>
      <c r="D229" s="1">
        <v>28.5</v>
      </c>
      <c r="E229" s="3">
        <v>266745494</v>
      </c>
      <c r="F229" s="3">
        <v>193881011</v>
      </c>
      <c r="G229" s="4">
        <v>13288890</v>
      </c>
      <c r="H229" s="4">
        <v>42096597</v>
      </c>
      <c r="I229" s="4">
        <v>6922746</v>
      </c>
    </row>
    <row r="230" spans="1:9" ht="17" hidden="1" x14ac:dyDescent="0.2">
      <c r="A230" s="16">
        <v>1</v>
      </c>
      <c r="B230" s="13" t="s">
        <v>0</v>
      </c>
      <c r="C230" s="1" t="s">
        <v>117</v>
      </c>
      <c r="D230" s="1">
        <v>28.4</v>
      </c>
      <c r="E230" s="3">
        <v>301735080</v>
      </c>
      <c r="F230" s="3">
        <v>202137688</v>
      </c>
      <c r="G230" s="4">
        <v>20914084</v>
      </c>
      <c r="H230" s="4">
        <v>50164195</v>
      </c>
      <c r="I230" s="4">
        <v>10519113</v>
      </c>
    </row>
    <row r="231" spans="1:9" ht="17" hidden="1" x14ac:dyDescent="0.2">
      <c r="A231" s="16">
        <v>1</v>
      </c>
      <c r="B231" s="13" t="s">
        <v>0</v>
      </c>
      <c r="C231" s="1" t="s">
        <v>117</v>
      </c>
      <c r="D231" s="1">
        <v>28.9</v>
      </c>
      <c r="E231" s="3">
        <v>242257818</v>
      </c>
      <c r="F231" s="3">
        <v>235557818</v>
      </c>
      <c r="G231" s="1" t="s">
        <v>1</v>
      </c>
      <c r="H231" s="4">
        <v>3000000</v>
      </c>
      <c r="I231" s="4">
        <v>3700000</v>
      </c>
    </row>
    <row r="232" spans="1:9" ht="17" hidden="1" x14ac:dyDescent="0.2">
      <c r="A232" s="16">
        <v>2</v>
      </c>
      <c r="B232" s="13" t="s">
        <v>0</v>
      </c>
      <c r="C232" s="5" t="s">
        <v>117</v>
      </c>
      <c r="D232" s="5">
        <v>29.1</v>
      </c>
      <c r="E232" s="7">
        <v>236694375</v>
      </c>
      <c r="F232" s="7">
        <v>207849759</v>
      </c>
      <c r="G232" s="5" t="s">
        <v>1</v>
      </c>
      <c r="H232" s="8">
        <v>18621666</v>
      </c>
      <c r="I232" s="8">
        <v>6297500</v>
      </c>
    </row>
    <row r="233" spans="1:9" ht="17" hidden="1" x14ac:dyDescent="0.2">
      <c r="A233" s="16">
        <v>9</v>
      </c>
      <c r="B233" s="13" t="s">
        <v>0</v>
      </c>
      <c r="C233" s="1" t="s">
        <v>117</v>
      </c>
      <c r="D233" s="1">
        <v>29</v>
      </c>
      <c r="E233" s="3">
        <v>116707717</v>
      </c>
      <c r="F233" s="3">
        <v>112457717</v>
      </c>
      <c r="G233" s="1" t="s">
        <v>1</v>
      </c>
      <c r="H233" s="4">
        <v>4250000</v>
      </c>
      <c r="I233" s="1" t="s">
        <v>1</v>
      </c>
    </row>
    <row r="234" spans="1:9" ht="17" hidden="1" x14ac:dyDescent="0.2">
      <c r="A234" s="16">
        <v>12</v>
      </c>
      <c r="B234" s="13" t="s">
        <v>0</v>
      </c>
      <c r="C234" s="1" t="s">
        <v>117</v>
      </c>
      <c r="D234" s="1">
        <v>28.6</v>
      </c>
      <c r="E234" s="3">
        <v>114748517</v>
      </c>
      <c r="F234" s="3">
        <v>97959517</v>
      </c>
      <c r="G234" s="1" t="s">
        <v>1</v>
      </c>
      <c r="H234" s="4">
        <v>1689000</v>
      </c>
      <c r="I234" s="1" t="s">
        <v>1</v>
      </c>
    </row>
    <row r="235" spans="1:9" ht="17" hidden="1" x14ac:dyDescent="0.2">
      <c r="A235" s="16">
        <v>28</v>
      </c>
      <c r="B235" s="13" t="s">
        <v>29</v>
      </c>
      <c r="C235" s="1" t="s">
        <v>52</v>
      </c>
      <c r="D235" s="1">
        <v>26.3</v>
      </c>
      <c r="E235" s="3">
        <v>67794627</v>
      </c>
      <c r="F235" s="3">
        <v>34212751</v>
      </c>
      <c r="G235" s="4">
        <v>7294675</v>
      </c>
      <c r="H235" s="1" t="s">
        <v>1</v>
      </c>
      <c r="I235" s="4">
        <v>1820687</v>
      </c>
    </row>
    <row r="236" spans="1:9" ht="17" hidden="1" x14ac:dyDescent="0.2">
      <c r="A236" s="16">
        <v>30</v>
      </c>
      <c r="B236" s="13" t="s">
        <v>29</v>
      </c>
      <c r="C236" s="1" t="s">
        <v>68</v>
      </c>
      <c r="D236" s="1">
        <v>26.7</v>
      </c>
      <c r="E236" s="3">
        <v>97569865</v>
      </c>
      <c r="F236" s="3">
        <v>11552956</v>
      </c>
      <c r="G236" s="4">
        <v>19701083</v>
      </c>
      <c r="H236" s="4">
        <v>5250000</v>
      </c>
      <c r="I236" s="4">
        <v>5031241</v>
      </c>
    </row>
    <row r="237" spans="1:9" ht="17" hidden="1" x14ac:dyDescent="0.2">
      <c r="A237" s="16">
        <v>20</v>
      </c>
      <c r="B237" s="13" t="s">
        <v>29</v>
      </c>
      <c r="C237" s="1" t="s">
        <v>77</v>
      </c>
      <c r="D237" s="1">
        <v>28.7</v>
      </c>
      <c r="E237" s="3">
        <v>105435809</v>
      </c>
      <c r="F237" s="3">
        <v>67982517</v>
      </c>
      <c r="G237" s="4">
        <v>25595861</v>
      </c>
      <c r="H237" s="1" t="s">
        <v>1</v>
      </c>
      <c r="I237" s="4">
        <v>1158917</v>
      </c>
    </row>
    <row r="238" spans="1:9" ht="17" hidden="1" x14ac:dyDescent="0.2">
      <c r="A238" s="16">
        <v>23</v>
      </c>
      <c r="B238" s="13" t="s">
        <v>29</v>
      </c>
      <c r="C238" s="1" t="s">
        <v>67</v>
      </c>
      <c r="D238" s="1">
        <v>27.8</v>
      </c>
      <c r="E238" s="3">
        <v>88452043</v>
      </c>
      <c r="F238" s="3">
        <v>54839601</v>
      </c>
      <c r="G238" s="4">
        <v>20999362</v>
      </c>
      <c r="H238" s="4">
        <v>275000</v>
      </c>
      <c r="I238" s="4">
        <v>1938473</v>
      </c>
    </row>
    <row r="239" spans="1:9" ht="17" hidden="1" x14ac:dyDescent="0.2">
      <c r="A239" s="16">
        <v>29</v>
      </c>
      <c r="B239" s="13" t="s">
        <v>29</v>
      </c>
      <c r="C239" s="1" t="s">
        <v>92</v>
      </c>
      <c r="D239" s="1">
        <v>27.1</v>
      </c>
      <c r="E239" s="3">
        <v>58157900</v>
      </c>
      <c r="F239" s="3">
        <v>16304223</v>
      </c>
      <c r="G239" s="4">
        <v>15489077</v>
      </c>
      <c r="H239" s="1" t="s">
        <v>1</v>
      </c>
      <c r="I239" s="4">
        <v>2423696</v>
      </c>
    </row>
    <row r="240" spans="1:9" ht="17" hidden="1" x14ac:dyDescent="0.2">
      <c r="A240" s="16">
        <v>28</v>
      </c>
      <c r="B240" s="13" t="s">
        <v>29</v>
      </c>
      <c r="C240" s="1" t="s">
        <v>100</v>
      </c>
      <c r="D240" s="1">
        <v>28.2</v>
      </c>
      <c r="E240" s="3">
        <v>34222260</v>
      </c>
      <c r="F240" s="3">
        <v>17388599</v>
      </c>
      <c r="G240" s="4">
        <v>2897429</v>
      </c>
      <c r="H240" s="4">
        <v>225000</v>
      </c>
      <c r="I240" s="4">
        <v>1600970</v>
      </c>
    </row>
    <row r="241" spans="1:9" ht="17" hidden="1" x14ac:dyDescent="0.2">
      <c r="A241" s="16">
        <v>24</v>
      </c>
      <c r="B241" s="13" t="s">
        <v>29</v>
      </c>
      <c r="C241" s="1" t="s">
        <v>115</v>
      </c>
      <c r="D241" s="1">
        <v>27.4</v>
      </c>
      <c r="E241" s="3">
        <v>75596271</v>
      </c>
      <c r="F241" s="3">
        <v>66602760</v>
      </c>
      <c r="G241" s="4">
        <v>3001903</v>
      </c>
      <c r="H241" s="4">
        <v>1000000</v>
      </c>
      <c r="I241" s="4">
        <v>1023588</v>
      </c>
    </row>
    <row r="242" spans="1:9" ht="17" hidden="1" x14ac:dyDescent="0.2">
      <c r="A242" s="16">
        <v>29</v>
      </c>
      <c r="B242" s="13" t="s">
        <v>29</v>
      </c>
      <c r="C242" s="1" t="s">
        <v>117</v>
      </c>
      <c r="D242" s="1">
        <v>26.5</v>
      </c>
      <c r="E242" s="3">
        <v>91660500</v>
      </c>
      <c r="F242" s="3">
        <v>43028514</v>
      </c>
      <c r="G242" s="4">
        <v>15407490</v>
      </c>
      <c r="H242" s="1" t="s">
        <v>1</v>
      </c>
      <c r="I242" s="4">
        <v>2204036</v>
      </c>
    </row>
    <row r="243" spans="1:9" ht="17" hidden="1" x14ac:dyDescent="0.2">
      <c r="A243" s="16">
        <v>21</v>
      </c>
      <c r="B243" s="13" t="s">
        <v>29</v>
      </c>
      <c r="C243" s="1" t="s">
        <v>117</v>
      </c>
      <c r="D243" s="1">
        <v>28.9</v>
      </c>
      <c r="E243" s="3">
        <v>110765599</v>
      </c>
      <c r="F243" s="3">
        <v>72360311</v>
      </c>
      <c r="G243" s="4">
        <v>21441206</v>
      </c>
      <c r="H243" s="4">
        <v>400000</v>
      </c>
      <c r="I243" s="4">
        <v>3181263</v>
      </c>
    </row>
    <row r="244" spans="1:9" ht="17" hidden="1" x14ac:dyDescent="0.2">
      <c r="A244" s="16">
        <v>23</v>
      </c>
      <c r="B244" s="13" t="s">
        <v>29</v>
      </c>
      <c r="C244" s="1" t="s">
        <v>117</v>
      </c>
      <c r="D244" s="1">
        <v>28</v>
      </c>
      <c r="E244" s="3">
        <v>77715306</v>
      </c>
      <c r="F244" s="3">
        <v>60842038</v>
      </c>
      <c r="G244" s="4">
        <v>3300000</v>
      </c>
      <c r="H244" s="4">
        <v>9311696</v>
      </c>
      <c r="I244" s="4">
        <v>3540709</v>
      </c>
    </row>
    <row r="245" spans="1:9" ht="17" hidden="1" x14ac:dyDescent="0.2">
      <c r="A245" s="16">
        <v>30</v>
      </c>
      <c r="B245" s="13" t="s">
        <v>29</v>
      </c>
      <c r="C245" s="1" t="s">
        <v>117</v>
      </c>
      <c r="D245" s="1">
        <v>27.1</v>
      </c>
      <c r="E245" s="3">
        <v>72990525</v>
      </c>
      <c r="F245" s="3">
        <v>37571144</v>
      </c>
      <c r="G245" s="4">
        <v>15751830</v>
      </c>
      <c r="H245" s="4">
        <v>19528890</v>
      </c>
      <c r="I245" s="4">
        <v>138661</v>
      </c>
    </row>
    <row r="246" spans="1:9" ht="17" hidden="1" x14ac:dyDescent="0.2">
      <c r="A246" s="16">
        <v>30</v>
      </c>
      <c r="B246" s="13" t="s">
        <v>29</v>
      </c>
      <c r="C246" s="1" t="s">
        <v>117</v>
      </c>
      <c r="D246" s="1">
        <v>26.7</v>
      </c>
      <c r="E246" s="3">
        <v>50049679</v>
      </c>
      <c r="F246" s="3">
        <v>41986784</v>
      </c>
      <c r="G246" s="1" t="s">
        <v>1</v>
      </c>
      <c r="H246" s="4">
        <v>3510654</v>
      </c>
      <c r="I246" s="4">
        <v>123279</v>
      </c>
    </row>
    <row r="247" spans="1:9" ht="17" hidden="1" x14ac:dyDescent="0.2">
      <c r="A247" s="16">
        <v>29</v>
      </c>
      <c r="B247" s="13" t="s">
        <v>29</v>
      </c>
      <c r="C247" s="1" t="s">
        <v>117</v>
      </c>
      <c r="D247" s="1">
        <v>26.2</v>
      </c>
      <c r="E247" s="3">
        <v>35874855</v>
      </c>
      <c r="F247" s="3">
        <v>27634640</v>
      </c>
      <c r="G247" s="1" t="s">
        <v>1</v>
      </c>
      <c r="H247" s="4">
        <v>675874</v>
      </c>
      <c r="I247" s="4">
        <v>543549</v>
      </c>
    </row>
    <row r="248" spans="1:9" s="9" customFormat="1" ht="17" hidden="1" x14ac:dyDescent="0.2">
      <c r="A248" s="16">
        <v>19</v>
      </c>
      <c r="B248" s="13" t="s">
        <v>29</v>
      </c>
      <c r="C248" s="1" t="s">
        <v>117</v>
      </c>
      <c r="D248" s="1">
        <v>27.3</v>
      </c>
      <c r="E248" s="3">
        <v>98120191</v>
      </c>
      <c r="F248" s="3">
        <v>80745905</v>
      </c>
      <c r="G248" s="1" t="s">
        <v>1</v>
      </c>
      <c r="H248" s="4">
        <v>1857924</v>
      </c>
      <c r="I248" s="4">
        <v>124316</v>
      </c>
    </row>
    <row r="249" spans="1:9" ht="17" hidden="1" x14ac:dyDescent="0.2">
      <c r="A249" s="16">
        <v>17</v>
      </c>
      <c r="B249" s="13" t="s">
        <v>18</v>
      </c>
      <c r="C249" s="1" t="s">
        <v>43</v>
      </c>
      <c r="D249" s="1">
        <v>27.4</v>
      </c>
      <c r="E249" s="3">
        <v>137618720</v>
      </c>
      <c r="F249" s="3">
        <v>86638816</v>
      </c>
      <c r="G249" s="4">
        <v>15805635</v>
      </c>
      <c r="H249" s="4">
        <v>16600000</v>
      </c>
      <c r="I249" s="4">
        <v>3307850</v>
      </c>
    </row>
    <row r="250" spans="1:9" ht="17" hidden="1" x14ac:dyDescent="0.2">
      <c r="A250" s="16">
        <v>20</v>
      </c>
      <c r="B250" s="13" t="s">
        <v>18</v>
      </c>
      <c r="C250" s="1" t="s">
        <v>31</v>
      </c>
      <c r="D250" s="1">
        <v>28</v>
      </c>
      <c r="E250" s="3">
        <v>124643685</v>
      </c>
      <c r="F250" s="3">
        <v>72648748</v>
      </c>
      <c r="G250" s="4">
        <v>36603673</v>
      </c>
      <c r="H250" s="4">
        <v>8750000</v>
      </c>
      <c r="I250" s="4">
        <v>2239485</v>
      </c>
    </row>
    <row r="251" spans="1:9" ht="17" hidden="1" x14ac:dyDescent="0.2">
      <c r="A251" s="16">
        <v>13</v>
      </c>
      <c r="B251" s="13" t="s">
        <v>18</v>
      </c>
      <c r="C251" s="1" t="s">
        <v>35</v>
      </c>
      <c r="D251" s="1">
        <v>28.9</v>
      </c>
      <c r="E251" s="3">
        <v>129339624</v>
      </c>
      <c r="F251" s="3">
        <v>88590836</v>
      </c>
      <c r="G251" s="4">
        <v>11924851</v>
      </c>
      <c r="H251" s="4">
        <v>1750000</v>
      </c>
      <c r="I251" s="4">
        <v>13185808</v>
      </c>
    </row>
    <row r="252" spans="1:9" ht="17" hidden="1" x14ac:dyDescent="0.2">
      <c r="A252" s="16">
        <v>15</v>
      </c>
      <c r="B252" s="13" t="s">
        <v>18</v>
      </c>
      <c r="C252" s="1" t="s">
        <v>60</v>
      </c>
      <c r="D252" s="1">
        <v>28.5</v>
      </c>
      <c r="E252" s="3">
        <v>133086663</v>
      </c>
      <c r="F252" s="3">
        <v>96060427</v>
      </c>
      <c r="G252" s="4">
        <v>5763506</v>
      </c>
      <c r="H252" s="4">
        <v>750000</v>
      </c>
      <c r="I252" s="4">
        <v>4714717</v>
      </c>
    </row>
    <row r="253" spans="1:9" ht="17" hidden="1" x14ac:dyDescent="0.2">
      <c r="A253" s="16">
        <v>15</v>
      </c>
      <c r="B253" s="13" t="s">
        <v>18</v>
      </c>
      <c r="C253" s="1" t="s">
        <v>55</v>
      </c>
      <c r="D253" s="1">
        <v>28.9</v>
      </c>
      <c r="E253" s="3">
        <v>99377415</v>
      </c>
      <c r="F253" s="3">
        <v>79937621</v>
      </c>
      <c r="G253" s="4">
        <v>3109474</v>
      </c>
      <c r="H253" s="4">
        <v>6750000</v>
      </c>
      <c r="I253" s="4">
        <v>6217716</v>
      </c>
    </row>
    <row r="254" spans="1:9" ht="17" hidden="1" x14ac:dyDescent="0.2">
      <c r="A254" s="16">
        <v>22</v>
      </c>
      <c r="B254" s="13" t="s">
        <v>18</v>
      </c>
      <c r="C254" s="1" t="s">
        <v>96</v>
      </c>
      <c r="D254" s="1">
        <v>27.9</v>
      </c>
      <c r="E254" s="3">
        <v>41434086</v>
      </c>
      <c r="F254" s="3">
        <v>28464819</v>
      </c>
      <c r="G254" s="4">
        <v>1203704</v>
      </c>
      <c r="H254" s="4">
        <v>2425926</v>
      </c>
      <c r="I254" s="4">
        <v>1354699</v>
      </c>
    </row>
    <row r="255" spans="1:9" ht="17" hidden="1" x14ac:dyDescent="0.2">
      <c r="A255" s="16">
        <v>12</v>
      </c>
      <c r="B255" s="13" t="s">
        <v>18</v>
      </c>
      <c r="C255" s="1" t="s">
        <v>39</v>
      </c>
      <c r="D255" s="1">
        <v>28.2</v>
      </c>
      <c r="E255" s="3">
        <v>136850200</v>
      </c>
      <c r="F255" s="3">
        <v>108189770</v>
      </c>
      <c r="G255" s="4">
        <v>8283400</v>
      </c>
      <c r="H255" s="4">
        <v>8500000</v>
      </c>
      <c r="I255" s="4">
        <v>128312</v>
      </c>
    </row>
    <row r="256" spans="1:9" ht="17" hidden="1" x14ac:dyDescent="0.2">
      <c r="A256" s="16">
        <v>16</v>
      </c>
      <c r="B256" s="13" t="s">
        <v>18</v>
      </c>
      <c r="C256" s="1" t="s">
        <v>117</v>
      </c>
      <c r="D256" s="1">
        <v>28.7</v>
      </c>
      <c r="E256" s="3">
        <v>109987885</v>
      </c>
      <c r="F256" s="3">
        <v>90891778</v>
      </c>
      <c r="G256" s="4">
        <v>7321500</v>
      </c>
      <c r="H256" s="4">
        <v>500000</v>
      </c>
      <c r="I256" s="4">
        <v>391457</v>
      </c>
    </row>
    <row r="257" spans="1:9" ht="17" hidden="1" x14ac:dyDescent="0.2">
      <c r="A257" s="16">
        <v>25</v>
      </c>
      <c r="B257" s="13" t="s">
        <v>18</v>
      </c>
      <c r="C257" s="1" t="s">
        <v>117</v>
      </c>
      <c r="D257" s="1">
        <v>28</v>
      </c>
      <c r="E257" s="3">
        <v>69924718</v>
      </c>
      <c r="F257" s="3">
        <v>58578930</v>
      </c>
      <c r="G257" s="4">
        <v>547000</v>
      </c>
      <c r="H257" s="1" t="s">
        <v>1</v>
      </c>
      <c r="I257" s="4">
        <v>4765174</v>
      </c>
    </row>
    <row r="258" spans="1:9" ht="17" hidden="1" x14ac:dyDescent="0.2">
      <c r="A258" s="16">
        <v>26</v>
      </c>
      <c r="B258" s="13" t="s">
        <v>18</v>
      </c>
      <c r="C258" s="1" t="s">
        <v>117</v>
      </c>
      <c r="D258" s="1">
        <v>27.1</v>
      </c>
      <c r="E258" s="3">
        <v>63161191</v>
      </c>
      <c r="F258" s="3">
        <v>50464613</v>
      </c>
      <c r="G258" s="4">
        <v>2517700</v>
      </c>
      <c r="H258" s="4">
        <v>188564</v>
      </c>
      <c r="I258" s="4">
        <v>1879781</v>
      </c>
    </row>
    <row r="259" spans="1:9" ht="17" hidden="1" x14ac:dyDescent="0.2">
      <c r="A259" s="16">
        <v>23</v>
      </c>
      <c r="B259" s="13" t="s">
        <v>18</v>
      </c>
      <c r="C259" s="1" t="s">
        <v>117</v>
      </c>
      <c r="D259" s="1">
        <v>26.5</v>
      </c>
      <c r="E259" s="3">
        <v>93298373</v>
      </c>
      <c r="F259" s="3">
        <v>58060214</v>
      </c>
      <c r="G259" s="4">
        <v>1020000</v>
      </c>
      <c r="H259" s="4">
        <v>33510458</v>
      </c>
      <c r="I259" s="4">
        <v>707701</v>
      </c>
    </row>
    <row r="260" spans="1:9" ht="17" hidden="1" x14ac:dyDescent="0.2">
      <c r="A260" s="16">
        <v>12</v>
      </c>
      <c r="B260" s="13" t="s">
        <v>18</v>
      </c>
      <c r="C260" s="1" t="s">
        <v>117</v>
      </c>
      <c r="D260" s="1">
        <v>28.2</v>
      </c>
      <c r="E260" s="3">
        <v>107552546</v>
      </c>
      <c r="F260" s="3">
        <v>106950089</v>
      </c>
      <c r="G260" s="1" t="s">
        <v>1</v>
      </c>
      <c r="H260" s="4">
        <v>331967</v>
      </c>
      <c r="I260" s="4">
        <v>81966</v>
      </c>
    </row>
    <row r="261" spans="1:9" ht="17" hidden="1" x14ac:dyDescent="0.2">
      <c r="A261" s="16">
        <v>21</v>
      </c>
      <c r="B261" s="13" t="s">
        <v>18</v>
      </c>
      <c r="C261" s="1" t="s">
        <v>117</v>
      </c>
      <c r="D261" s="1">
        <v>27.5</v>
      </c>
      <c r="E261" s="3">
        <v>87016545</v>
      </c>
      <c r="F261" s="3">
        <v>70123690</v>
      </c>
      <c r="G261" s="1" t="s">
        <v>1</v>
      </c>
      <c r="H261" s="4">
        <v>2950000</v>
      </c>
      <c r="I261" s="4">
        <v>286502</v>
      </c>
    </row>
    <row r="262" spans="1:9" ht="17" hidden="1" x14ac:dyDescent="0.2">
      <c r="A262" s="16">
        <v>10</v>
      </c>
      <c r="B262" s="13" t="s">
        <v>18</v>
      </c>
      <c r="C262" s="5" t="s">
        <v>117</v>
      </c>
      <c r="D262" s="5">
        <v>27.6</v>
      </c>
      <c r="E262" s="7">
        <v>111903295</v>
      </c>
      <c r="F262" s="7">
        <v>109459579</v>
      </c>
      <c r="G262" s="5" t="s">
        <v>1</v>
      </c>
      <c r="H262" s="8">
        <v>2000000</v>
      </c>
      <c r="I262" s="5" t="s">
        <v>1</v>
      </c>
    </row>
    <row r="263" spans="1:9" ht="17" hidden="1" x14ac:dyDescent="0.2">
      <c r="A263" s="16">
        <v>15</v>
      </c>
      <c r="B263" s="13" t="s">
        <v>18</v>
      </c>
      <c r="C263" s="1" t="s">
        <v>117</v>
      </c>
      <c r="D263" s="1">
        <v>28.6</v>
      </c>
      <c r="E263" s="3">
        <v>91150638</v>
      </c>
      <c r="F263" s="3">
        <v>90650638</v>
      </c>
      <c r="G263" s="1" t="s">
        <v>1</v>
      </c>
      <c r="H263" s="4">
        <v>500000</v>
      </c>
      <c r="I263" s="1" t="s">
        <v>1</v>
      </c>
    </row>
    <row r="264" spans="1:9" ht="17" hidden="1" x14ac:dyDescent="0.2">
      <c r="A264" s="16">
        <v>24</v>
      </c>
      <c r="B264" s="13" t="s">
        <v>23</v>
      </c>
      <c r="C264" s="1" t="s">
        <v>49</v>
      </c>
      <c r="D264" s="1">
        <v>27.8</v>
      </c>
      <c r="E264" s="3">
        <v>129650732</v>
      </c>
      <c r="F264" s="3">
        <v>49351640</v>
      </c>
      <c r="G264" s="4">
        <v>24750911</v>
      </c>
      <c r="H264" s="4">
        <v>225000</v>
      </c>
      <c r="I264" s="4">
        <v>1615943</v>
      </c>
    </row>
    <row r="265" spans="1:9" ht="17" hidden="1" x14ac:dyDescent="0.2">
      <c r="A265" s="16">
        <v>14</v>
      </c>
      <c r="B265" s="13" t="s">
        <v>23</v>
      </c>
      <c r="C265" s="1" t="s">
        <v>44</v>
      </c>
      <c r="D265" s="1">
        <v>28.5</v>
      </c>
      <c r="E265" s="3">
        <v>131225880</v>
      </c>
      <c r="F265" s="3">
        <v>102020614</v>
      </c>
      <c r="G265" s="4">
        <v>22053202</v>
      </c>
      <c r="H265" s="4">
        <v>250000</v>
      </c>
      <c r="I265" s="4">
        <v>4331231</v>
      </c>
    </row>
    <row r="266" spans="1:9" ht="17" hidden="1" x14ac:dyDescent="0.2">
      <c r="A266" s="16">
        <v>17</v>
      </c>
      <c r="B266" s="13" t="s">
        <v>23</v>
      </c>
      <c r="C266" s="1" t="s">
        <v>37</v>
      </c>
      <c r="D266" s="1">
        <v>28.8</v>
      </c>
      <c r="E266" s="3">
        <v>156104540</v>
      </c>
      <c r="F266" s="3">
        <v>77967521</v>
      </c>
      <c r="G266" s="4">
        <v>71263008</v>
      </c>
      <c r="H266" s="1" t="s">
        <v>1</v>
      </c>
      <c r="I266" s="4">
        <v>3452245</v>
      </c>
    </row>
    <row r="267" spans="1:9" ht="17" hidden="1" x14ac:dyDescent="0.2">
      <c r="A267" s="16">
        <v>18</v>
      </c>
      <c r="B267" s="13" t="s">
        <v>23</v>
      </c>
      <c r="C267" s="1" t="s">
        <v>42</v>
      </c>
      <c r="D267" s="1">
        <v>27</v>
      </c>
      <c r="E267" s="3">
        <v>150363491</v>
      </c>
      <c r="F267" s="3">
        <v>77058186</v>
      </c>
      <c r="G267" s="4">
        <v>53517506</v>
      </c>
      <c r="H267" s="4">
        <v>4500000</v>
      </c>
      <c r="I267" s="4">
        <v>1120869</v>
      </c>
    </row>
    <row r="268" spans="1:9" ht="17" hidden="1" x14ac:dyDescent="0.2">
      <c r="A268" s="16">
        <v>14</v>
      </c>
      <c r="B268" s="13" t="s">
        <v>23</v>
      </c>
      <c r="C268" s="1" t="s">
        <v>81</v>
      </c>
      <c r="D268" s="1">
        <v>28.5</v>
      </c>
      <c r="E268" s="3">
        <v>121417939</v>
      </c>
      <c r="F268" s="3">
        <v>84942828</v>
      </c>
      <c r="G268" s="4">
        <v>13198044</v>
      </c>
      <c r="H268" s="4">
        <v>1250000</v>
      </c>
      <c r="I268" s="4">
        <v>3342848</v>
      </c>
    </row>
    <row r="269" spans="1:9" ht="17" hidden="1" x14ac:dyDescent="0.2">
      <c r="A269" s="16">
        <v>11</v>
      </c>
      <c r="B269" s="13" t="s">
        <v>23</v>
      </c>
      <c r="C269" s="1" t="s">
        <v>103</v>
      </c>
      <c r="D269" s="1">
        <v>29.5</v>
      </c>
      <c r="E269" s="3">
        <v>59679689</v>
      </c>
      <c r="F269" s="3">
        <v>49057558</v>
      </c>
      <c r="G269" s="4">
        <v>6876058</v>
      </c>
      <c r="H269" s="4">
        <v>250000</v>
      </c>
      <c r="I269" s="4">
        <v>840180</v>
      </c>
    </row>
    <row r="270" spans="1:9" ht="17" hidden="1" x14ac:dyDescent="0.2">
      <c r="A270" s="16">
        <v>14</v>
      </c>
      <c r="B270" s="13" t="s">
        <v>23</v>
      </c>
      <c r="C270" s="1" t="s">
        <v>79</v>
      </c>
      <c r="D270" s="1">
        <v>27.3</v>
      </c>
      <c r="E270" s="3">
        <v>125256003</v>
      </c>
      <c r="F270" s="3">
        <v>96059595</v>
      </c>
      <c r="G270" s="4">
        <v>1773872</v>
      </c>
      <c r="H270" s="4">
        <v>11000000</v>
      </c>
      <c r="I270" s="4">
        <v>266305</v>
      </c>
    </row>
    <row r="271" spans="1:9" ht="17" hidden="1" x14ac:dyDescent="0.2">
      <c r="A271" s="16">
        <v>27</v>
      </c>
      <c r="B271" s="13" t="s">
        <v>23</v>
      </c>
      <c r="C271" s="1" t="s">
        <v>117</v>
      </c>
      <c r="D271" s="1">
        <v>27.1</v>
      </c>
      <c r="E271" s="3">
        <v>115538840</v>
      </c>
      <c r="F271" s="3">
        <v>56283693</v>
      </c>
      <c r="G271" s="4">
        <v>29213890</v>
      </c>
      <c r="H271" s="4">
        <v>700000</v>
      </c>
      <c r="I271" s="4">
        <v>776730</v>
      </c>
    </row>
    <row r="272" spans="1:9" ht="17" hidden="1" x14ac:dyDescent="0.2">
      <c r="A272" s="16">
        <v>20</v>
      </c>
      <c r="B272" s="13" t="s">
        <v>23</v>
      </c>
      <c r="C272" s="1" t="s">
        <v>117</v>
      </c>
      <c r="D272" s="1">
        <v>27.8</v>
      </c>
      <c r="E272" s="3">
        <v>121048871</v>
      </c>
      <c r="F272" s="3">
        <v>75616449</v>
      </c>
      <c r="G272" s="4">
        <v>22830000</v>
      </c>
      <c r="H272" s="1" t="s">
        <v>1</v>
      </c>
      <c r="I272" s="4">
        <v>3105113</v>
      </c>
    </row>
    <row r="273" spans="1:9" ht="17" hidden="1" x14ac:dyDescent="0.2">
      <c r="A273" s="16">
        <v>20</v>
      </c>
      <c r="B273" s="13" t="s">
        <v>23</v>
      </c>
      <c r="C273" s="1" t="s">
        <v>117</v>
      </c>
      <c r="D273" s="1">
        <v>27</v>
      </c>
      <c r="E273" s="3">
        <v>97244457</v>
      </c>
      <c r="F273" s="3">
        <v>66477950</v>
      </c>
      <c r="G273" s="4">
        <v>24241532</v>
      </c>
      <c r="H273" s="4">
        <v>174699</v>
      </c>
      <c r="I273" s="4">
        <v>2861681</v>
      </c>
    </row>
    <row r="274" spans="1:9" ht="17" hidden="1" x14ac:dyDescent="0.2">
      <c r="A274" s="16">
        <v>14</v>
      </c>
      <c r="B274" s="13" t="s">
        <v>23</v>
      </c>
      <c r="C274" s="1" t="s">
        <v>117</v>
      </c>
      <c r="D274" s="1">
        <v>28.1</v>
      </c>
      <c r="E274" s="3">
        <v>106231818</v>
      </c>
      <c r="F274" s="3">
        <v>101448147</v>
      </c>
      <c r="G274" s="4">
        <v>2070081</v>
      </c>
      <c r="H274" s="4">
        <v>2200000</v>
      </c>
      <c r="I274" s="4">
        <v>513590</v>
      </c>
    </row>
    <row r="275" spans="1:9" ht="17" hidden="1" x14ac:dyDescent="0.2">
      <c r="A275" s="16">
        <v>20</v>
      </c>
      <c r="B275" s="13" t="s">
        <v>23</v>
      </c>
      <c r="C275" s="1" t="s">
        <v>117</v>
      </c>
      <c r="D275" s="1">
        <v>27</v>
      </c>
      <c r="E275" s="3">
        <v>87494478</v>
      </c>
      <c r="F275" s="3">
        <v>72140448</v>
      </c>
      <c r="G275" s="1" t="s">
        <v>1</v>
      </c>
      <c r="H275" s="4">
        <v>11400544</v>
      </c>
      <c r="I275" s="4">
        <v>16393</v>
      </c>
    </row>
    <row r="276" spans="1:9" ht="17" hidden="1" x14ac:dyDescent="0.2">
      <c r="A276" s="16">
        <v>27</v>
      </c>
      <c r="B276" s="13" t="s">
        <v>23</v>
      </c>
      <c r="C276" s="1" t="s">
        <v>117</v>
      </c>
      <c r="D276" s="1">
        <v>27.2</v>
      </c>
      <c r="E276" s="3">
        <v>81300970</v>
      </c>
      <c r="F276" s="3">
        <v>58450017</v>
      </c>
      <c r="G276" s="1" t="s">
        <v>1</v>
      </c>
      <c r="H276" s="4">
        <v>250000</v>
      </c>
      <c r="I276" s="4">
        <v>5767759</v>
      </c>
    </row>
    <row r="277" spans="1:9" ht="17" hidden="1" x14ac:dyDescent="0.2">
      <c r="A277" s="16">
        <v>12</v>
      </c>
      <c r="B277" s="13" t="s">
        <v>23</v>
      </c>
      <c r="C277" s="1" t="s">
        <v>117</v>
      </c>
      <c r="D277" s="1">
        <v>27.6</v>
      </c>
      <c r="E277" s="3">
        <v>107939507</v>
      </c>
      <c r="F277" s="3">
        <v>107939507</v>
      </c>
      <c r="G277" s="1" t="s">
        <v>1</v>
      </c>
      <c r="H277" s="1" t="s">
        <v>1</v>
      </c>
      <c r="I277" s="1" t="s">
        <v>1</v>
      </c>
    </row>
    <row r="278" spans="1:9" s="9" customFormat="1" ht="17" hidden="1" x14ac:dyDescent="0.2">
      <c r="A278" s="16">
        <v>10</v>
      </c>
      <c r="B278" s="13" t="s">
        <v>23</v>
      </c>
      <c r="C278" s="1" t="s">
        <v>117</v>
      </c>
      <c r="D278" s="1">
        <v>27.2</v>
      </c>
      <c r="E278" s="3">
        <v>113591627</v>
      </c>
      <c r="F278" s="3">
        <v>106483033</v>
      </c>
      <c r="G278" s="1" t="s">
        <v>1</v>
      </c>
      <c r="H278" s="4">
        <v>132500</v>
      </c>
      <c r="I278" s="1" t="s">
        <v>1</v>
      </c>
    </row>
    <row r="279" spans="1:9" x14ac:dyDescent="0.2">
      <c r="A279" s="13" t="s">
        <v>14</v>
      </c>
      <c r="B279" s="14">
        <v>106423328.06666666</v>
      </c>
    </row>
    <row r="280" spans="1:9" x14ac:dyDescent="0.2">
      <c r="A280" s="13" t="s">
        <v>18</v>
      </c>
      <c r="B280" s="14">
        <v>102423038.93333334</v>
      </c>
    </row>
    <row r="281" spans="1:9" x14ac:dyDescent="0.2">
      <c r="A281" s="13" t="s">
        <v>16</v>
      </c>
      <c r="B281" s="14">
        <v>102048448.53333333</v>
      </c>
    </row>
    <row r="282" spans="1:9" x14ac:dyDescent="0.2">
      <c r="A282" s="13" t="s">
        <v>28</v>
      </c>
      <c r="B282" s="14">
        <v>101999983.2</v>
      </c>
    </row>
    <row r="283" spans="1:9" x14ac:dyDescent="0.2">
      <c r="A283" s="13" t="s">
        <v>24</v>
      </c>
      <c r="B283" s="14">
        <v>99300083.266666666</v>
      </c>
    </row>
    <row r="284" spans="1:9" x14ac:dyDescent="0.2">
      <c r="A284" s="13" t="s">
        <v>25</v>
      </c>
      <c r="B284" s="14">
        <v>88724100.733333334</v>
      </c>
    </row>
    <row r="285" spans="1:9" x14ac:dyDescent="0.2">
      <c r="A285" s="13" t="s">
        <v>121</v>
      </c>
      <c r="B285" s="14">
        <v>75294152.066666663</v>
      </c>
    </row>
    <row r="286" spans="1:9" x14ac:dyDescent="0.2">
      <c r="A286" s="13" t="s">
        <v>26</v>
      </c>
      <c r="B286" s="14">
        <v>73389085</v>
      </c>
    </row>
    <row r="287" spans="1:9" x14ac:dyDescent="0.2">
      <c r="A287" s="13" t="s">
        <v>119</v>
      </c>
      <c r="B287" s="14">
        <v>72760230</v>
      </c>
    </row>
    <row r="288" spans="1:9" x14ac:dyDescent="0.2">
      <c r="A288" s="13" t="s">
        <v>27</v>
      </c>
      <c r="B288" s="14">
        <v>71519541.599999994</v>
      </c>
    </row>
    <row r="305" spans="1:9" ht="17" hidden="1" x14ac:dyDescent="0.2">
      <c r="A305" s="1">
        <v>2</v>
      </c>
      <c r="B305" s="10" t="s">
        <v>3</v>
      </c>
      <c r="C305" s="1" t="s">
        <v>32</v>
      </c>
      <c r="D305" s="1">
        <v>29.3</v>
      </c>
      <c r="E305" s="3">
        <v>342303011</v>
      </c>
      <c r="F305" s="3">
        <v>268004963</v>
      </c>
      <c r="G305" s="4">
        <v>48538020</v>
      </c>
      <c r="H305" s="1" t="s">
        <v>1</v>
      </c>
      <c r="I305" s="4">
        <v>19353633</v>
      </c>
    </row>
    <row r="306" spans="1:9" ht="17" hidden="1" x14ac:dyDescent="0.2">
      <c r="A306" s="1">
        <v>4</v>
      </c>
      <c r="B306" s="2" t="s">
        <v>3</v>
      </c>
      <c r="C306" s="1" t="s">
        <v>39</v>
      </c>
      <c r="D306" s="1">
        <v>30.4</v>
      </c>
      <c r="E306" s="3">
        <v>322960494</v>
      </c>
      <c r="F306" s="3">
        <v>191459616</v>
      </c>
      <c r="G306" s="4">
        <v>37578740</v>
      </c>
      <c r="H306" s="4">
        <v>250000</v>
      </c>
      <c r="I306" s="4">
        <v>6961503</v>
      </c>
    </row>
    <row r="307" spans="1:9" ht="17" hidden="1" x14ac:dyDescent="0.2">
      <c r="A307" s="1">
        <v>12</v>
      </c>
      <c r="B307" s="2" t="s">
        <v>3</v>
      </c>
      <c r="C307" s="1" t="s">
        <v>46</v>
      </c>
      <c r="D307" s="1">
        <v>28.4</v>
      </c>
      <c r="E307" s="3">
        <v>347949991</v>
      </c>
      <c r="F307" s="3">
        <v>104207606</v>
      </c>
      <c r="G307" s="4">
        <v>81144181</v>
      </c>
      <c r="H307" s="1" t="s">
        <v>1</v>
      </c>
      <c r="I307" s="4">
        <v>4390521</v>
      </c>
    </row>
    <row r="308" spans="1:9" s="9" customFormat="1" ht="17" hidden="1" x14ac:dyDescent="0.2">
      <c r="A308" s="1">
        <v>1</v>
      </c>
      <c r="B308" s="2" t="s">
        <v>3</v>
      </c>
      <c r="C308" s="1" t="s">
        <v>79</v>
      </c>
      <c r="D308" s="1">
        <v>30.2</v>
      </c>
      <c r="E308" s="3">
        <v>266670327</v>
      </c>
      <c r="F308" s="3">
        <v>229440710</v>
      </c>
      <c r="G308" s="4">
        <v>4155954</v>
      </c>
      <c r="H308" s="4">
        <v>4400000</v>
      </c>
      <c r="I308" s="4">
        <v>4942664</v>
      </c>
    </row>
    <row r="309" spans="1:9" ht="17" hidden="1" x14ac:dyDescent="0.2">
      <c r="A309" s="1">
        <v>1</v>
      </c>
      <c r="B309" s="2" t="s">
        <v>3</v>
      </c>
      <c r="C309" s="1" t="s">
        <v>51</v>
      </c>
      <c r="D309" s="1">
        <v>29.6</v>
      </c>
      <c r="E309" s="3">
        <v>201189189</v>
      </c>
      <c r="F309" s="3">
        <v>176565754</v>
      </c>
      <c r="G309" s="4">
        <v>11933570</v>
      </c>
      <c r="H309" s="4">
        <v>1400000</v>
      </c>
      <c r="I309" s="4">
        <v>3735419</v>
      </c>
    </row>
    <row r="310" spans="1:9" ht="17" hidden="1" x14ac:dyDescent="0.2">
      <c r="A310" s="1">
        <v>12</v>
      </c>
      <c r="B310" s="2" t="s">
        <v>3</v>
      </c>
      <c r="C310" s="1" t="s">
        <v>98</v>
      </c>
      <c r="D310" s="1">
        <v>29.3</v>
      </c>
      <c r="E310" s="3">
        <v>81945598</v>
      </c>
      <c r="F310" s="3">
        <v>46360406</v>
      </c>
      <c r="G310" s="4">
        <v>15399881</v>
      </c>
      <c r="H310" s="4">
        <v>16000000</v>
      </c>
      <c r="I310" s="4">
        <v>373486</v>
      </c>
    </row>
    <row r="311" spans="1:9" ht="17" hidden="1" x14ac:dyDescent="0.2">
      <c r="A311" s="1">
        <v>13</v>
      </c>
      <c r="B311" s="2" t="s">
        <v>3</v>
      </c>
      <c r="C311" s="1" t="s">
        <v>60</v>
      </c>
      <c r="D311" s="1">
        <v>28.1</v>
      </c>
      <c r="E311" s="3">
        <v>146835812</v>
      </c>
      <c r="F311" s="3">
        <v>104490573</v>
      </c>
      <c r="G311" s="4">
        <v>16519542</v>
      </c>
      <c r="H311" s="4">
        <v>15500000</v>
      </c>
      <c r="I311" s="4">
        <v>604730</v>
      </c>
    </row>
    <row r="312" spans="1:9" ht="17" hidden="1" x14ac:dyDescent="0.2">
      <c r="A312" s="1">
        <v>18</v>
      </c>
      <c r="B312" s="2" t="s">
        <v>3</v>
      </c>
      <c r="C312" s="1" t="s">
        <v>117</v>
      </c>
      <c r="D312" s="1">
        <v>27.9</v>
      </c>
      <c r="E312" s="3">
        <v>150187987</v>
      </c>
      <c r="F312" s="3">
        <v>82655203</v>
      </c>
      <c r="G312" s="4">
        <v>49831436</v>
      </c>
      <c r="H312" s="1" t="s">
        <v>1</v>
      </c>
      <c r="I312" s="4">
        <v>595087</v>
      </c>
    </row>
    <row r="313" spans="1:9" ht="17" hidden="1" x14ac:dyDescent="0.2">
      <c r="A313" s="1">
        <v>26</v>
      </c>
      <c r="B313" s="2" t="s">
        <v>3</v>
      </c>
      <c r="C313" s="1" t="s">
        <v>117</v>
      </c>
      <c r="D313" s="1">
        <v>26.6</v>
      </c>
      <c r="E313" s="3">
        <v>143990158</v>
      </c>
      <c r="F313" s="3">
        <v>48736470</v>
      </c>
      <c r="G313" s="4">
        <v>44924726</v>
      </c>
      <c r="H313" s="4">
        <v>500000</v>
      </c>
      <c r="I313" s="4">
        <v>733460</v>
      </c>
    </row>
    <row r="314" spans="1:9" ht="17" hidden="1" x14ac:dyDescent="0.2">
      <c r="A314" s="1">
        <v>14</v>
      </c>
      <c r="B314" s="2" t="s">
        <v>3</v>
      </c>
      <c r="C314" s="1" t="s">
        <v>117</v>
      </c>
      <c r="D314" s="1">
        <v>28</v>
      </c>
      <c r="E314" s="3">
        <v>147236560</v>
      </c>
      <c r="F314" s="3">
        <v>101296332</v>
      </c>
      <c r="G314" s="4">
        <v>39822605</v>
      </c>
      <c r="H314" s="4">
        <v>2675000</v>
      </c>
      <c r="I314" s="1" t="s">
        <v>1</v>
      </c>
    </row>
    <row r="315" spans="1:9" ht="17" hidden="1" x14ac:dyDescent="0.2">
      <c r="A315" s="1">
        <v>13</v>
      </c>
      <c r="B315" s="2" t="s">
        <v>3</v>
      </c>
      <c r="C315" s="1" t="s">
        <v>117</v>
      </c>
      <c r="D315" s="1">
        <v>28.3</v>
      </c>
      <c r="E315" s="3">
        <v>115698927</v>
      </c>
      <c r="F315" s="3">
        <v>103930260</v>
      </c>
      <c r="G315" s="4">
        <v>5551249</v>
      </c>
      <c r="H315" s="4">
        <v>129200</v>
      </c>
      <c r="I315" s="4">
        <v>5776251</v>
      </c>
    </row>
    <row r="316" spans="1:9" ht="17" hidden="1" x14ac:dyDescent="0.2">
      <c r="A316" s="1">
        <v>19</v>
      </c>
      <c r="B316" s="2" t="s">
        <v>3</v>
      </c>
      <c r="C316" s="1" t="s">
        <v>117</v>
      </c>
      <c r="D316" s="1">
        <v>27.5</v>
      </c>
      <c r="E316" s="3">
        <v>94478037</v>
      </c>
      <c r="F316" s="3">
        <v>74021346</v>
      </c>
      <c r="G316" s="1" t="s">
        <v>1</v>
      </c>
      <c r="H316" s="4">
        <v>18927594</v>
      </c>
      <c r="I316" s="4">
        <v>1165709</v>
      </c>
    </row>
    <row r="317" spans="1:9" ht="17" hidden="1" x14ac:dyDescent="0.2">
      <c r="A317" s="1">
        <v>20</v>
      </c>
      <c r="B317" s="2" t="s">
        <v>3</v>
      </c>
      <c r="C317" s="1" t="s">
        <v>117</v>
      </c>
      <c r="D317" s="1">
        <v>28</v>
      </c>
      <c r="E317" s="3">
        <v>101300814</v>
      </c>
      <c r="F317" s="3">
        <v>70361236</v>
      </c>
      <c r="G317" s="4">
        <v>500625</v>
      </c>
      <c r="H317" s="4">
        <v>23258495</v>
      </c>
      <c r="I317" s="4">
        <v>741210</v>
      </c>
    </row>
    <row r="318" spans="1:9" ht="17" hidden="1" x14ac:dyDescent="0.2">
      <c r="A318" s="5">
        <v>13</v>
      </c>
      <c r="B318" s="6" t="s">
        <v>3</v>
      </c>
      <c r="C318" s="5" t="s">
        <v>117</v>
      </c>
      <c r="D318" s="5">
        <v>27.4</v>
      </c>
      <c r="E318" s="7">
        <v>104988166</v>
      </c>
      <c r="F318" s="7">
        <v>101049642</v>
      </c>
      <c r="G318" s="5" t="s">
        <v>1</v>
      </c>
      <c r="H318" s="5" t="s">
        <v>1</v>
      </c>
      <c r="I318" s="5" t="s">
        <v>1</v>
      </c>
    </row>
    <row r="319" spans="1:9" ht="17" hidden="1" x14ac:dyDescent="0.2">
      <c r="A319" s="1">
        <v>14</v>
      </c>
      <c r="B319" s="2" t="s">
        <v>3</v>
      </c>
      <c r="C319" s="1" t="s">
        <v>117</v>
      </c>
      <c r="D319" s="1">
        <v>28.9</v>
      </c>
      <c r="E319" s="3">
        <v>141831841</v>
      </c>
      <c r="F319" s="3">
        <v>96163418</v>
      </c>
      <c r="G319" s="1" t="s">
        <v>1</v>
      </c>
      <c r="H319" s="4">
        <v>18250000</v>
      </c>
      <c r="I319" s="1" t="s">
        <v>1</v>
      </c>
    </row>
    <row r="320" spans="1:9" ht="17" hidden="1" x14ac:dyDescent="0.2">
      <c r="A320" s="1">
        <v>4</v>
      </c>
      <c r="B320" s="2" t="s">
        <v>5</v>
      </c>
      <c r="C320" s="1" t="s">
        <v>34</v>
      </c>
      <c r="D320" s="1">
        <v>29.7</v>
      </c>
      <c r="E320" s="3">
        <v>304091683</v>
      </c>
      <c r="F320" s="3">
        <v>198430719</v>
      </c>
      <c r="G320" s="4">
        <v>46660521</v>
      </c>
      <c r="H320" s="4">
        <v>5000000</v>
      </c>
      <c r="I320" s="4">
        <v>2827701</v>
      </c>
    </row>
    <row r="321" spans="1:9" ht="17" hidden="1" x14ac:dyDescent="0.2">
      <c r="A321" s="1">
        <v>1</v>
      </c>
      <c r="B321" s="2" t="s">
        <v>5</v>
      </c>
      <c r="C321" s="1" t="s">
        <v>34</v>
      </c>
      <c r="D321" s="1">
        <v>29.1</v>
      </c>
      <c r="E321" s="3">
        <v>315616982</v>
      </c>
      <c r="F321" s="3">
        <v>260398360</v>
      </c>
      <c r="G321" s="4">
        <v>25630756</v>
      </c>
      <c r="H321" s="4">
        <v>12000000</v>
      </c>
      <c r="I321" s="4">
        <v>4441472</v>
      </c>
    </row>
    <row r="322" spans="1:9" ht="17" hidden="1" x14ac:dyDescent="0.2">
      <c r="A322" s="1">
        <v>4</v>
      </c>
      <c r="B322" s="2" t="s">
        <v>5</v>
      </c>
      <c r="C322" s="1" t="s">
        <v>44</v>
      </c>
      <c r="D322" s="1">
        <v>28.5</v>
      </c>
      <c r="E322" s="3">
        <v>278747922</v>
      </c>
      <c r="F322" s="3">
        <v>187316625</v>
      </c>
      <c r="G322" s="4">
        <v>50681231</v>
      </c>
      <c r="H322" s="1" t="s">
        <v>1</v>
      </c>
      <c r="I322" s="4">
        <v>1549249</v>
      </c>
    </row>
    <row r="323" spans="1:9" ht="17" hidden="1" x14ac:dyDescent="0.2">
      <c r="A323" s="1">
        <v>3</v>
      </c>
      <c r="B323" s="2" t="s">
        <v>5</v>
      </c>
      <c r="C323" s="1" t="s">
        <v>80</v>
      </c>
      <c r="D323" s="1">
        <v>29.6</v>
      </c>
      <c r="E323" s="3">
        <v>252957200</v>
      </c>
      <c r="F323" s="3">
        <v>214676803</v>
      </c>
      <c r="G323" s="4">
        <v>25203665</v>
      </c>
      <c r="H323" s="1" t="s">
        <v>1</v>
      </c>
      <c r="I323" s="4">
        <v>961638</v>
      </c>
    </row>
    <row r="324" spans="1:9" ht="17" hidden="1" x14ac:dyDescent="0.2">
      <c r="A324" s="1">
        <v>4</v>
      </c>
      <c r="B324" s="2" t="s">
        <v>5</v>
      </c>
      <c r="C324" s="1" t="s">
        <v>35</v>
      </c>
      <c r="D324" s="1">
        <v>28.9</v>
      </c>
      <c r="E324" s="3">
        <v>205669863</v>
      </c>
      <c r="F324" s="3">
        <v>141518753</v>
      </c>
      <c r="G324" s="4">
        <v>48217362</v>
      </c>
      <c r="H324" s="4">
        <v>2353067</v>
      </c>
      <c r="I324" s="4">
        <v>3804036</v>
      </c>
    </row>
    <row r="325" spans="1:9" ht="17" hidden="1" x14ac:dyDescent="0.2">
      <c r="A325" s="1">
        <v>2</v>
      </c>
      <c r="B325" s="2" t="s">
        <v>5</v>
      </c>
      <c r="C325" s="1" t="s">
        <v>94</v>
      </c>
      <c r="D325" s="1">
        <v>29</v>
      </c>
      <c r="E325" s="3">
        <v>111939081</v>
      </c>
      <c r="F325" s="3">
        <v>77215694</v>
      </c>
      <c r="G325" s="4">
        <v>9920725</v>
      </c>
      <c r="H325" s="4">
        <v>2500000</v>
      </c>
      <c r="I325" s="4">
        <v>819685</v>
      </c>
    </row>
    <row r="326" spans="1:9" ht="17" hidden="1" x14ac:dyDescent="0.2">
      <c r="A326" s="1">
        <v>2</v>
      </c>
      <c r="B326" s="2" t="s">
        <v>5</v>
      </c>
      <c r="C326" s="1" t="s">
        <v>112</v>
      </c>
      <c r="D326" s="1">
        <v>28.6</v>
      </c>
      <c r="E326" s="3">
        <v>223019037</v>
      </c>
      <c r="F326" s="3">
        <v>171935047</v>
      </c>
      <c r="G326" s="4">
        <v>42325463</v>
      </c>
      <c r="H326" s="4">
        <v>7000000</v>
      </c>
      <c r="I326" s="4">
        <v>408808</v>
      </c>
    </row>
    <row r="327" spans="1:9" ht="17" hidden="1" x14ac:dyDescent="0.2">
      <c r="A327" s="1">
        <v>5</v>
      </c>
      <c r="B327" s="2" t="s">
        <v>5</v>
      </c>
      <c r="C327" s="1" t="s">
        <v>117</v>
      </c>
      <c r="D327" s="1">
        <v>27.5</v>
      </c>
      <c r="E327" s="3">
        <v>180098151</v>
      </c>
      <c r="F327" s="3">
        <v>148010829</v>
      </c>
      <c r="G327" s="4">
        <v>22568376</v>
      </c>
      <c r="H327" s="4">
        <v>500000</v>
      </c>
      <c r="I327" s="4">
        <v>269532</v>
      </c>
    </row>
    <row r="328" spans="1:9" ht="17" hidden="1" x14ac:dyDescent="0.2">
      <c r="A328" s="1">
        <v>4</v>
      </c>
      <c r="B328" s="2" t="s">
        <v>5</v>
      </c>
      <c r="C328" s="1" t="s">
        <v>117</v>
      </c>
      <c r="D328" s="1">
        <v>27.5</v>
      </c>
      <c r="E328" s="3">
        <v>209044502</v>
      </c>
      <c r="F328" s="3">
        <v>164826896</v>
      </c>
      <c r="G328" s="4">
        <v>7867680</v>
      </c>
      <c r="H328" s="4">
        <v>21000000</v>
      </c>
      <c r="I328" s="4">
        <v>179239</v>
      </c>
    </row>
    <row r="329" spans="1:9" ht="17" hidden="1" x14ac:dyDescent="0.2">
      <c r="A329" s="1">
        <v>6</v>
      </c>
      <c r="B329" s="2" t="s">
        <v>5</v>
      </c>
      <c r="C329" s="1" t="s">
        <v>117</v>
      </c>
      <c r="D329" s="1">
        <v>27.6</v>
      </c>
      <c r="E329" s="3">
        <v>220743376</v>
      </c>
      <c r="F329" s="3">
        <v>159213515</v>
      </c>
      <c r="G329" s="4">
        <v>10509409</v>
      </c>
      <c r="H329" s="4">
        <v>21061006</v>
      </c>
      <c r="I329" s="4">
        <v>781986</v>
      </c>
    </row>
    <row r="330" spans="1:9" ht="17" hidden="1" x14ac:dyDescent="0.2">
      <c r="A330" s="1">
        <v>2</v>
      </c>
      <c r="B330" s="2" t="s">
        <v>5</v>
      </c>
      <c r="C330" s="1" t="s">
        <v>117</v>
      </c>
      <c r="D330" s="1">
        <v>27.6</v>
      </c>
      <c r="E330" s="3">
        <v>221242659</v>
      </c>
      <c r="F330" s="3">
        <v>187465727</v>
      </c>
      <c r="G330" s="4">
        <v>24415379</v>
      </c>
      <c r="H330" s="4">
        <v>5459561</v>
      </c>
      <c r="I330" s="4">
        <v>394492</v>
      </c>
    </row>
    <row r="331" spans="1:9" ht="17" hidden="1" x14ac:dyDescent="0.2">
      <c r="A331" s="1">
        <v>2</v>
      </c>
      <c r="B331" s="2" t="s">
        <v>5</v>
      </c>
      <c r="C331" s="1" t="s">
        <v>117</v>
      </c>
      <c r="D331" s="1">
        <v>29.5</v>
      </c>
      <c r="E331" s="3">
        <v>212512317</v>
      </c>
      <c r="F331" s="3">
        <v>196734750</v>
      </c>
      <c r="G331" s="1" t="s">
        <v>1</v>
      </c>
      <c r="H331" s="4">
        <v>10635000</v>
      </c>
      <c r="I331" s="4">
        <v>114519</v>
      </c>
    </row>
    <row r="332" spans="1:9" ht="17" hidden="1" x14ac:dyDescent="0.2">
      <c r="A332" s="1">
        <v>1</v>
      </c>
      <c r="B332" s="2" t="s">
        <v>5</v>
      </c>
      <c r="C332" s="1" t="s">
        <v>117</v>
      </c>
      <c r="D332" s="1">
        <v>29.8</v>
      </c>
      <c r="E332" s="3">
        <v>234518126</v>
      </c>
      <c r="F332" s="3">
        <v>221782587</v>
      </c>
      <c r="G332" s="1" t="s">
        <v>1</v>
      </c>
      <c r="H332" s="4">
        <v>2260350</v>
      </c>
      <c r="I332" s="4">
        <v>1975189</v>
      </c>
    </row>
    <row r="333" spans="1:9" ht="17" hidden="1" x14ac:dyDescent="0.2">
      <c r="A333" s="1">
        <v>1</v>
      </c>
      <c r="B333" s="2" t="s">
        <v>5</v>
      </c>
      <c r="C333" s="1" t="s">
        <v>117</v>
      </c>
      <c r="D333" s="1">
        <v>30.4</v>
      </c>
      <c r="E333" s="3">
        <v>225589742</v>
      </c>
      <c r="F333" s="3">
        <v>213651218</v>
      </c>
      <c r="G333" s="1" t="s">
        <v>1</v>
      </c>
      <c r="H333" s="4">
        <v>250000</v>
      </c>
      <c r="I333" s="1" t="s">
        <v>1</v>
      </c>
    </row>
    <row r="334" spans="1:9" ht="17" hidden="1" x14ac:dyDescent="0.2">
      <c r="A334" s="1">
        <v>1</v>
      </c>
      <c r="B334" s="2" t="s">
        <v>5</v>
      </c>
      <c r="C334" s="1" t="s">
        <v>117</v>
      </c>
      <c r="D334" s="1">
        <v>29.5</v>
      </c>
      <c r="E334" s="3">
        <v>210950685</v>
      </c>
      <c r="F334" s="3">
        <v>210950685</v>
      </c>
      <c r="G334" s="1" t="s">
        <v>1</v>
      </c>
      <c r="H334" s="1" t="s">
        <v>1</v>
      </c>
      <c r="I334" s="1" t="s">
        <v>1</v>
      </c>
    </row>
    <row r="335" spans="1:9" ht="17" hidden="1" x14ac:dyDescent="0.2">
      <c r="A335" s="1">
        <v>29</v>
      </c>
      <c r="B335" s="2" t="s">
        <v>66</v>
      </c>
      <c r="C335" s="1" t="s">
        <v>67</v>
      </c>
      <c r="D335" s="1">
        <v>26.5</v>
      </c>
      <c r="E335" s="3">
        <v>63503127</v>
      </c>
      <c r="F335" s="3">
        <v>29028337</v>
      </c>
      <c r="G335" s="4">
        <v>15585124</v>
      </c>
      <c r="H335" s="4">
        <v>1000000</v>
      </c>
      <c r="I335" s="4">
        <v>3062089</v>
      </c>
    </row>
    <row r="336" spans="1:9" ht="17" hidden="1" x14ac:dyDescent="0.2">
      <c r="A336" s="1">
        <v>29</v>
      </c>
      <c r="B336" s="2" t="s">
        <v>66</v>
      </c>
      <c r="C336" s="1" t="s">
        <v>82</v>
      </c>
      <c r="D336" s="1">
        <v>26.1</v>
      </c>
      <c r="E336" s="3">
        <v>62258711</v>
      </c>
      <c r="F336" s="3">
        <v>31211881</v>
      </c>
      <c r="G336" s="4">
        <v>7178987</v>
      </c>
      <c r="H336" s="1" t="s">
        <v>1</v>
      </c>
      <c r="I336" s="4">
        <v>7674804</v>
      </c>
    </row>
    <row r="337" spans="1:9" ht="17" hidden="1" x14ac:dyDescent="0.2">
      <c r="A337" s="1">
        <v>30</v>
      </c>
      <c r="B337" s="10" t="s">
        <v>66</v>
      </c>
      <c r="C337" s="1" t="s">
        <v>54</v>
      </c>
      <c r="D337" s="1">
        <v>27.1</v>
      </c>
      <c r="E337" s="3">
        <v>48443900</v>
      </c>
      <c r="F337" s="3">
        <v>15196960</v>
      </c>
      <c r="G337" s="4">
        <v>6642582</v>
      </c>
      <c r="H337" s="4">
        <v>1000000</v>
      </c>
      <c r="I337" s="4">
        <v>3265269</v>
      </c>
    </row>
    <row r="338" spans="1:9" s="9" customFormat="1" ht="17" hidden="1" x14ac:dyDescent="0.2">
      <c r="A338" s="1">
        <v>21</v>
      </c>
      <c r="B338" s="2" t="s">
        <v>66</v>
      </c>
      <c r="C338" s="1" t="s">
        <v>60</v>
      </c>
      <c r="D338" s="1">
        <v>30</v>
      </c>
      <c r="E338" s="3">
        <v>90400598</v>
      </c>
      <c r="F338" s="3">
        <v>51210210</v>
      </c>
      <c r="G338" s="4">
        <v>34397095</v>
      </c>
      <c r="H338" s="4">
        <v>1250000</v>
      </c>
      <c r="I338" s="4">
        <v>1712682</v>
      </c>
    </row>
    <row r="339" spans="1:9" ht="17" hidden="1" x14ac:dyDescent="0.2">
      <c r="A339" s="1">
        <v>17</v>
      </c>
      <c r="B339" s="2" t="s">
        <v>66</v>
      </c>
      <c r="C339" s="1" t="s">
        <v>103</v>
      </c>
      <c r="D339" s="1">
        <v>29.3</v>
      </c>
      <c r="E339" s="3">
        <v>36720178</v>
      </c>
      <c r="F339" s="3">
        <v>35283875</v>
      </c>
      <c r="G339" s="4">
        <v>902038</v>
      </c>
      <c r="H339" s="1" t="s">
        <v>1</v>
      </c>
      <c r="I339" s="4">
        <v>421117</v>
      </c>
    </row>
    <row r="340" spans="1:9" ht="17" hidden="1" x14ac:dyDescent="0.2">
      <c r="A340" s="1">
        <v>19</v>
      </c>
      <c r="B340" s="2" t="s">
        <v>66</v>
      </c>
      <c r="C340" s="1" t="s">
        <v>43</v>
      </c>
      <c r="D340" s="1">
        <v>28.5</v>
      </c>
      <c r="E340" s="3">
        <v>98644531</v>
      </c>
      <c r="F340" s="3">
        <v>83509128</v>
      </c>
      <c r="G340" s="4">
        <v>622664</v>
      </c>
      <c r="H340" s="4">
        <v>500000</v>
      </c>
      <c r="I340" s="4">
        <v>642234</v>
      </c>
    </row>
    <row r="341" spans="1:9" ht="17" hidden="1" x14ac:dyDescent="0.2">
      <c r="A341" s="1">
        <v>25</v>
      </c>
      <c r="B341" s="2" t="s">
        <v>66</v>
      </c>
      <c r="C341" s="1" t="s">
        <v>117</v>
      </c>
      <c r="D341" s="1">
        <v>28.9</v>
      </c>
      <c r="E341" s="3">
        <v>80315288</v>
      </c>
      <c r="F341" s="3">
        <v>61525657</v>
      </c>
      <c r="G341" s="4">
        <v>4972604</v>
      </c>
      <c r="H341" s="1" t="s">
        <v>1</v>
      </c>
      <c r="I341" s="4">
        <v>3698396</v>
      </c>
    </row>
    <row r="342" spans="1:9" ht="17" hidden="1" x14ac:dyDescent="0.2">
      <c r="A342" s="1">
        <v>28</v>
      </c>
      <c r="B342" s="2" t="s">
        <v>66</v>
      </c>
      <c r="C342" s="1" t="s">
        <v>117</v>
      </c>
      <c r="D342" s="1">
        <v>27.2</v>
      </c>
      <c r="E342" s="3">
        <v>73477080</v>
      </c>
      <c r="F342" s="3">
        <v>31723817</v>
      </c>
      <c r="G342" s="4">
        <v>1437784</v>
      </c>
      <c r="H342" s="4">
        <v>11666667</v>
      </c>
      <c r="I342" s="4">
        <v>1126461</v>
      </c>
    </row>
    <row r="343" spans="1:9" ht="17" hidden="1" x14ac:dyDescent="0.2">
      <c r="A343" s="1">
        <v>29</v>
      </c>
      <c r="B343" s="2" t="s">
        <v>66</v>
      </c>
      <c r="C343" s="1" t="s">
        <v>117</v>
      </c>
      <c r="D343" s="1">
        <v>26.7</v>
      </c>
      <c r="E343" s="3">
        <v>83109288</v>
      </c>
      <c r="F343" s="3">
        <v>28084351</v>
      </c>
      <c r="G343" s="4">
        <v>19754414</v>
      </c>
      <c r="H343" s="4">
        <v>11813635</v>
      </c>
      <c r="I343" s="4">
        <v>171926</v>
      </c>
    </row>
    <row r="344" spans="1:9" ht="17" hidden="1" x14ac:dyDescent="0.2">
      <c r="A344" s="1">
        <v>29</v>
      </c>
      <c r="B344" s="2" t="s">
        <v>66</v>
      </c>
      <c r="C344" s="1" t="s">
        <v>117</v>
      </c>
      <c r="D344" s="1">
        <v>27.9</v>
      </c>
      <c r="E344" s="3">
        <v>80491339</v>
      </c>
      <c r="F344" s="3">
        <v>42311467</v>
      </c>
      <c r="G344" s="4">
        <v>8772896</v>
      </c>
      <c r="H344" s="4">
        <v>29168581</v>
      </c>
      <c r="I344" s="4">
        <v>238395</v>
      </c>
    </row>
    <row r="345" spans="1:9" ht="17" hidden="1" x14ac:dyDescent="0.2">
      <c r="A345" s="1">
        <v>25</v>
      </c>
      <c r="B345" s="2" t="s">
        <v>66</v>
      </c>
      <c r="C345" s="1" t="s">
        <v>117</v>
      </c>
      <c r="D345" s="1">
        <v>29.1</v>
      </c>
      <c r="E345" s="3">
        <v>92888412</v>
      </c>
      <c r="F345" s="3">
        <v>65864461</v>
      </c>
      <c r="G345" s="1" t="s">
        <v>1</v>
      </c>
      <c r="H345" s="4">
        <v>14286280</v>
      </c>
      <c r="I345" s="4">
        <v>4418715</v>
      </c>
    </row>
    <row r="346" spans="1:9" ht="17" hidden="1" x14ac:dyDescent="0.2">
      <c r="A346" s="1">
        <v>24</v>
      </c>
      <c r="B346" s="2" t="s">
        <v>66</v>
      </c>
      <c r="C346" s="1" t="s">
        <v>117</v>
      </c>
      <c r="D346" s="1">
        <v>28</v>
      </c>
      <c r="E346" s="3">
        <v>67055517</v>
      </c>
      <c r="F346" s="3">
        <v>65065572</v>
      </c>
      <c r="G346" s="1" t="s">
        <v>1</v>
      </c>
      <c r="H346" s="4">
        <v>1475846</v>
      </c>
      <c r="I346" s="4">
        <v>5355</v>
      </c>
    </row>
    <row r="347" spans="1:9" ht="17" hidden="1" x14ac:dyDescent="0.2">
      <c r="A347" s="1">
        <v>29</v>
      </c>
      <c r="B347" s="2" t="s">
        <v>66</v>
      </c>
      <c r="C347" s="1" t="s">
        <v>117</v>
      </c>
      <c r="D347" s="1">
        <v>27.2</v>
      </c>
      <c r="E347" s="3">
        <v>60470192</v>
      </c>
      <c r="F347" s="3">
        <v>56608334</v>
      </c>
      <c r="G347" s="1" t="s">
        <v>1</v>
      </c>
      <c r="H347" s="4">
        <v>250000</v>
      </c>
      <c r="I347" s="1" t="s">
        <v>1</v>
      </c>
    </row>
    <row r="348" spans="1:9" ht="17" hidden="1" x14ac:dyDescent="0.2">
      <c r="A348" s="5">
        <v>22</v>
      </c>
      <c r="B348" s="6" t="s">
        <v>66</v>
      </c>
      <c r="C348" s="5" t="s">
        <v>117</v>
      </c>
      <c r="D348" s="5">
        <v>27.3</v>
      </c>
      <c r="E348" s="7">
        <v>75241048</v>
      </c>
      <c r="F348" s="7">
        <v>68725475</v>
      </c>
      <c r="G348" s="5" t="s">
        <v>1</v>
      </c>
      <c r="H348" s="8">
        <v>3000000</v>
      </c>
      <c r="I348" s="5" t="s">
        <v>1</v>
      </c>
    </row>
    <row r="349" spans="1:9" ht="17" hidden="1" x14ac:dyDescent="0.2">
      <c r="A349" s="1">
        <v>3</v>
      </c>
      <c r="B349" s="2" t="s">
        <v>6</v>
      </c>
      <c r="C349" s="1" t="s">
        <v>33</v>
      </c>
      <c r="D349" s="1">
        <v>30.3</v>
      </c>
      <c r="E349" s="3">
        <v>292315191</v>
      </c>
      <c r="F349" s="3">
        <v>225838871</v>
      </c>
      <c r="G349" s="4">
        <v>55474994</v>
      </c>
      <c r="H349" s="4">
        <v>3000000</v>
      </c>
      <c r="I349" s="4">
        <v>2359921</v>
      </c>
    </row>
    <row r="350" spans="1:9" ht="17" hidden="1" x14ac:dyDescent="0.2">
      <c r="A350" s="1">
        <v>2</v>
      </c>
      <c r="B350" s="2" t="s">
        <v>6</v>
      </c>
      <c r="C350" s="1" t="s">
        <v>55</v>
      </c>
      <c r="D350" s="1">
        <v>29</v>
      </c>
      <c r="E350" s="3">
        <v>244253627</v>
      </c>
      <c r="F350" s="3">
        <v>222315360</v>
      </c>
      <c r="G350" s="4">
        <v>3031516</v>
      </c>
      <c r="H350" s="4">
        <v>8721505</v>
      </c>
      <c r="I350" s="4">
        <v>2549868</v>
      </c>
    </row>
    <row r="351" spans="1:9" ht="17" hidden="1" x14ac:dyDescent="0.2">
      <c r="A351" s="1">
        <v>1</v>
      </c>
      <c r="B351" s="2" t="s">
        <v>6</v>
      </c>
      <c r="C351" s="1" t="s">
        <v>36</v>
      </c>
      <c r="D351" s="1">
        <v>28.4</v>
      </c>
      <c r="E351" s="3">
        <v>245410961</v>
      </c>
      <c r="F351" s="3">
        <v>218601219</v>
      </c>
      <c r="G351" s="4">
        <v>12530327</v>
      </c>
      <c r="H351" s="1" t="s">
        <v>1</v>
      </c>
      <c r="I351" s="4">
        <v>10933645</v>
      </c>
    </row>
    <row r="352" spans="1:9" ht="17" hidden="1" x14ac:dyDescent="0.2">
      <c r="A352" s="1">
        <v>5</v>
      </c>
      <c r="B352" s="2" t="s">
        <v>6</v>
      </c>
      <c r="C352" s="1" t="s">
        <v>37</v>
      </c>
      <c r="D352" s="1">
        <v>28.3</v>
      </c>
      <c r="E352" s="3">
        <v>244458518</v>
      </c>
      <c r="F352" s="3">
        <v>164090987</v>
      </c>
      <c r="G352" s="4">
        <v>11897332</v>
      </c>
      <c r="H352" s="4">
        <v>6650000</v>
      </c>
      <c r="I352" s="4">
        <v>9886523</v>
      </c>
    </row>
    <row r="353" spans="1:9" ht="17" hidden="1" x14ac:dyDescent="0.2">
      <c r="A353" s="1">
        <v>6</v>
      </c>
      <c r="B353" s="2" t="s">
        <v>6</v>
      </c>
      <c r="C353" s="1" t="s">
        <v>44</v>
      </c>
      <c r="D353" s="1">
        <v>28.2</v>
      </c>
      <c r="E353" s="3">
        <v>190519366</v>
      </c>
      <c r="F353" s="3">
        <v>141020189</v>
      </c>
      <c r="G353" s="4">
        <v>19936225</v>
      </c>
      <c r="H353" s="1" t="s">
        <v>1</v>
      </c>
      <c r="I353" s="4">
        <v>5759036</v>
      </c>
    </row>
    <row r="354" spans="1:9" ht="17" hidden="1" x14ac:dyDescent="0.2">
      <c r="A354" s="1">
        <v>5</v>
      </c>
      <c r="B354" s="2" t="s">
        <v>6</v>
      </c>
      <c r="C354" s="1" t="s">
        <v>97</v>
      </c>
      <c r="D354" s="1">
        <v>28.3</v>
      </c>
      <c r="E354" s="3">
        <v>73543547</v>
      </c>
      <c r="F354" s="3">
        <v>57105401</v>
      </c>
      <c r="G354" s="4">
        <v>13236891</v>
      </c>
      <c r="H354" s="4">
        <v>2250000</v>
      </c>
      <c r="I354" s="4">
        <v>539182</v>
      </c>
    </row>
    <row r="355" spans="1:9" ht="17" hidden="1" x14ac:dyDescent="0.2">
      <c r="A355" s="1">
        <v>20</v>
      </c>
      <c r="B355" s="2" t="s">
        <v>6</v>
      </c>
      <c r="C355" s="1" t="s">
        <v>38</v>
      </c>
      <c r="D355" s="1">
        <v>27.8</v>
      </c>
      <c r="E355" s="3">
        <v>159637244</v>
      </c>
      <c r="F355" s="3">
        <v>82703582</v>
      </c>
      <c r="G355" s="4">
        <v>67270903</v>
      </c>
      <c r="H355" s="4">
        <v>3017904</v>
      </c>
      <c r="I355" s="4">
        <v>812246</v>
      </c>
    </row>
    <row r="356" spans="1:9" ht="17" hidden="1" x14ac:dyDescent="0.2">
      <c r="A356" s="1">
        <v>13</v>
      </c>
      <c r="B356" s="2" t="s">
        <v>6</v>
      </c>
      <c r="C356" s="1" t="s">
        <v>117</v>
      </c>
      <c r="D356" s="1">
        <v>27</v>
      </c>
      <c r="E356" s="3">
        <v>104297471</v>
      </c>
      <c r="F356" s="3">
        <v>97016347</v>
      </c>
      <c r="G356" s="1" t="s">
        <v>1</v>
      </c>
      <c r="H356" s="4">
        <v>4995968</v>
      </c>
      <c r="I356" s="4">
        <v>344440</v>
      </c>
    </row>
    <row r="357" spans="1:9" ht="17" hidden="1" x14ac:dyDescent="0.2">
      <c r="A357" s="1">
        <v>29</v>
      </c>
      <c r="B357" s="2" t="s">
        <v>6</v>
      </c>
      <c r="C357" s="1" t="s">
        <v>117</v>
      </c>
      <c r="D357" s="1">
        <v>25.9</v>
      </c>
      <c r="E357" s="3">
        <v>104020808</v>
      </c>
      <c r="F357" s="3">
        <v>28213540</v>
      </c>
      <c r="G357" s="4">
        <v>16578578</v>
      </c>
      <c r="H357" s="4">
        <v>24000000</v>
      </c>
      <c r="I357" s="4">
        <v>339068</v>
      </c>
    </row>
    <row r="358" spans="1:9" ht="17" hidden="1" x14ac:dyDescent="0.2">
      <c r="A358" s="1">
        <v>25</v>
      </c>
      <c r="B358" s="2" t="s">
        <v>6</v>
      </c>
      <c r="C358" s="1" t="s">
        <v>117</v>
      </c>
      <c r="D358" s="1">
        <v>26.8</v>
      </c>
      <c r="E358" s="3">
        <v>103898809</v>
      </c>
      <c r="F358" s="3">
        <v>53797706</v>
      </c>
      <c r="G358" s="4">
        <v>22025303</v>
      </c>
      <c r="H358" s="4">
        <v>14913177</v>
      </c>
      <c r="I358" s="4">
        <v>6166668</v>
      </c>
    </row>
    <row r="359" spans="1:9" ht="17" hidden="1" x14ac:dyDescent="0.2">
      <c r="A359" s="1">
        <v>25</v>
      </c>
      <c r="B359" s="2" t="s">
        <v>6</v>
      </c>
      <c r="C359" s="1" t="s">
        <v>117</v>
      </c>
      <c r="D359" s="1">
        <v>27.4</v>
      </c>
      <c r="E359" s="3">
        <v>141722639</v>
      </c>
      <c r="F359" s="3">
        <v>52800331</v>
      </c>
      <c r="G359" s="4">
        <v>33290177</v>
      </c>
      <c r="H359" s="4">
        <v>37719664</v>
      </c>
      <c r="I359" s="4">
        <v>3912467</v>
      </c>
    </row>
    <row r="360" spans="1:9" ht="17" hidden="1" x14ac:dyDescent="0.2">
      <c r="A360" s="1">
        <v>5</v>
      </c>
      <c r="B360" s="2" t="s">
        <v>6</v>
      </c>
      <c r="C360" s="1" t="s">
        <v>117</v>
      </c>
      <c r="D360" s="1">
        <v>29.1</v>
      </c>
      <c r="E360" s="3">
        <v>175225539</v>
      </c>
      <c r="F360" s="3">
        <v>145286948</v>
      </c>
      <c r="G360" s="4">
        <v>25000000</v>
      </c>
      <c r="H360" s="4">
        <v>1067009</v>
      </c>
      <c r="I360" s="4">
        <v>674860</v>
      </c>
    </row>
    <row r="361" spans="1:9" ht="17" hidden="1" x14ac:dyDescent="0.2">
      <c r="A361" s="1">
        <v>4</v>
      </c>
      <c r="B361" s="2" t="s">
        <v>6</v>
      </c>
      <c r="C361" s="1" t="s">
        <v>117</v>
      </c>
      <c r="D361" s="1">
        <v>28.8</v>
      </c>
      <c r="E361" s="3">
        <v>163558353</v>
      </c>
      <c r="F361" s="3">
        <v>154284216</v>
      </c>
      <c r="G361" s="4">
        <v>765791</v>
      </c>
      <c r="H361" s="4">
        <v>2750000</v>
      </c>
      <c r="I361" s="4">
        <v>200819</v>
      </c>
    </row>
    <row r="362" spans="1:9" ht="17" hidden="1" x14ac:dyDescent="0.2">
      <c r="A362" s="1">
        <v>2</v>
      </c>
      <c r="B362" s="2" t="s">
        <v>6</v>
      </c>
      <c r="C362" s="1" t="s">
        <v>117</v>
      </c>
      <c r="D362" s="1">
        <v>29.5</v>
      </c>
      <c r="E362" s="3">
        <v>177862491</v>
      </c>
      <c r="F362" s="3">
        <v>167544458</v>
      </c>
      <c r="G362" s="1" t="s">
        <v>1</v>
      </c>
      <c r="H362" s="4">
        <v>3639344</v>
      </c>
      <c r="I362" s="1" t="s">
        <v>1</v>
      </c>
    </row>
    <row r="363" spans="1:9" ht="17" hidden="1" x14ac:dyDescent="0.2">
      <c r="A363" s="1">
        <v>2</v>
      </c>
      <c r="B363" s="10" t="s">
        <v>6</v>
      </c>
      <c r="C363" s="1" t="s">
        <v>117</v>
      </c>
      <c r="D363" s="1">
        <v>29.9</v>
      </c>
      <c r="E363" s="3">
        <v>170018182</v>
      </c>
      <c r="F363" s="3">
        <v>169849882</v>
      </c>
      <c r="G363" s="1" t="s">
        <v>1</v>
      </c>
      <c r="H363" s="4">
        <v>168300</v>
      </c>
      <c r="I363" s="1" t="s">
        <v>1</v>
      </c>
    </row>
    <row r="364" spans="1:9" ht="17" hidden="1" x14ac:dyDescent="0.2">
      <c r="A364" s="1">
        <v>23</v>
      </c>
      <c r="B364" s="2" t="s">
        <v>26</v>
      </c>
      <c r="C364" s="1" t="s">
        <v>48</v>
      </c>
      <c r="D364" s="1">
        <v>27.3</v>
      </c>
      <c r="E364" s="3">
        <v>84423338</v>
      </c>
      <c r="F364" s="3">
        <v>52200867</v>
      </c>
      <c r="G364" s="4">
        <v>2440921</v>
      </c>
      <c r="H364" s="1" t="s">
        <v>1</v>
      </c>
      <c r="I364" s="4">
        <v>2456275</v>
      </c>
    </row>
    <row r="365" spans="1:9" ht="17" hidden="1" x14ac:dyDescent="0.2">
      <c r="A365" s="1">
        <v>24</v>
      </c>
      <c r="B365" s="2" t="s">
        <v>26</v>
      </c>
      <c r="C365" s="1" t="s">
        <v>40</v>
      </c>
      <c r="D365" s="1">
        <v>27.7</v>
      </c>
      <c r="E365" s="3">
        <v>85405037</v>
      </c>
      <c r="F365" s="3">
        <v>51224258</v>
      </c>
      <c r="G365" s="4">
        <v>14524211</v>
      </c>
      <c r="H365" s="4">
        <v>4000000</v>
      </c>
      <c r="I365" s="4">
        <v>4315217</v>
      </c>
    </row>
    <row r="366" spans="1:9" ht="17" hidden="1" x14ac:dyDescent="0.2">
      <c r="A366" s="1">
        <v>30</v>
      </c>
      <c r="B366" s="10" t="s">
        <v>26</v>
      </c>
      <c r="C366" s="1" t="s">
        <v>40</v>
      </c>
      <c r="D366" s="1">
        <v>25.6</v>
      </c>
      <c r="E366" s="3">
        <v>75734681</v>
      </c>
      <c r="F366" s="3">
        <v>30953803</v>
      </c>
      <c r="G366" s="4">
        <v>22463351</v>
      </c>
      <c r="H366" s="1" t="s">
        <v>1</v>
      </c>
      <c r="I366" s="4">
        <v>4516234</v>
      </c>
    </row>
    <row r="367" spans="1:9" ht="17" hidden="1" x14ac:dyDescent="0.2">
      <c r="A367" s="1">
        <v>27</v>
      </c>
      <c r="B367" s="2" t="s">
        <v>26</v>
      </c>
      <c r="C367" s="1" t="s">
        <v>68</v>
      </c>
      <c r="D367" s="1">
        <v>26</v>
      </c>
      <c r="E367" s="3">
        <v>56197847</v>
      </c>
      <c r="F367" s="3">
        <v>30472503</v>
      </c>
      <c r="G367" s="4">
        <v>8449026</v>
      </c>
      <c r="H367" s="1" t="s">
        <v>1</v>
      </c>
      <c r="I367" s="4">
        <v>4203480</v>
      </c>
    </row>
    <row r="368" spans="1:9" s="9" customFormat="1" ht="17" hidden="1" x14ac:dyDescent="0.2">
      <c r="A368" s="1">
        <v>28</v>
      </c>
      <c r="B368" s="2" t="s">
        <v>26</v>
      </c>
      <c r="C368" s="1" t="s">
        <v>61</v>
      </c>
      <c r="D368" s="1">
        <v>26.8</v>
      </c>
      <c r="E368" s="3">
        <v>54356609</v>
      </c>
      <c r="F368" s="3">
        <v>17797841</v>
      </c>
      <c r="G368" s="4">
        <v>7847255</v>
      </c>
      <c r="H368" s="1" t="s">
        <v>1</v>
      </c>
      <c r="I368" s="4">
        <v>971911</v>
      </c>
    </row>
    <row r="369" spans="1:9" ht="17" hidden="1" x14ac:dyDescent="0.2">
      <c r="A369" s="1">
        <v>29</v>
      </c>
      <c r="B369" s="2" t="s">
        <v>26</v>
      </c>
      <c r="C369" s="1" t="s">
        <v>111</v>
      </c>
      <c r="D369" s="1">
        <v>27.4</v>
      </c>
      <c r="E369" s="3">
        <v>25343022</v>
      </c>
      <c r="F369" s="3">
        <v>12738842</v>
      </c>
      <c r="G369" s="4">
        <v>8467312</v>
      </c>
      <c r="H369" s="4">
        <v>250000</v>
      </c>
      <c r="I369" s="4">
        <v>199360</v>
      </c>
    </row>
    <row r="370" spans="1:9" ht="17" hidden="1" x14ac:dyDescent="0.2">
      <c r="A370" s="1">
        <v>30</v>
      </c>
      <c r="B370" s="10" t="s">
        <v>26</v>
      </c>
      <c r="C370" s="1" t="s">
        <v>67</v>
      </c>
      <c r="D370" s="1">
        <v>26.8</v>
      </c>
      <c r="E370" s="3">
        <v>72176474</v>
      </c>
      <c r="F370" s="3">
        <v>27674108</v>
      </c>
      <c r="G370" s="4">
        <v>19571272</v>
      </c>
      <c r="H370" s="4">
        <v>1250000</v>
      </c>
      <c r="I370" s="4">
        <v>377951</v>
      </c>
    </row>
    <row r="371" spans="1:9" ht="17" hidden="1" x14ac:dyDescent="0.2">
      <c r="A371" s="1">
        <v>23</v>
      </c>
      <c r="B371" s="2" t="s">
        <v>26</v>
      </c>
      <c r="C371" s="1" t="s">
        <v>117</v>
      </c>
      <c r="D371" s="1">
        <v>26.7</v>
      </c>
      <c r="E371" s="3">
        <v>91025861</v>
      </c>
      <c r="F371" s="3">
        <v>67576415</v>
      </c>
      <c r="G371" s="4">
        <v>4670500</v>
      </c>
      <c r="H371" s="4">
        <v>300000</v>
      </c>
      <c r="I371" s="4">
        <v>1286832</v>
      </c>
    </row>
    <row r="372" spans="1:9" ht="17" hidden="1" x14ac:dyDescent="0.2">
      <c r="A372" s="1">
        <v>22</v>
      </c>
      <c r="B372" s="2" t="s">
        <v>26</v>
      </c>
      <c r="C372" s="1" t="s">
        <v>117</v>
      </c>
      <c r="D372" s="1">
        <v>27.5</v>
      </c>
      <c r="E372" s="3">
        <v>100503030</v>
      </c>
      <c r="F372" s="3">
        <v>66496313</v>
      </c>
      <c r="G372" s="4">
        <v>16750000</v>
      </c>
      <c r="H372" s="1" t="s">
        <v>1</v>
      </c>
      <c r="I372" s="4">
        <v>125689</v>
      </c>
    </row>
    <row r="373" spans="1:9" ht="17" hidden="1" x14ac:dyDescent="0.2">
      <c r="A373" s="1">
        <v>24</v>
      </c>
      <c r="B373" s="2" t="s">
        <v>26</v>
      </c>
      <c r="C373" s="1" t="s">
        <v>117</v>
      </c>
      <c r="D373" s="1">
        <v>28</v>
      </c>
      <c r="E373" s="3">
        <v>99518136</v>
      </c>
      <c r="F373" s="3">
        <v>57311465</v>
      </c>
      <c r="G373" s="4">
        <v>10861276</v>
      </c>
      <c r="H373" s="4">
        <v>5588698</v>
      </c>
      <c r="I373" s="4">
        <v>77644</v>
      </c>
    </row>
    <row r="374" spans="1:9" ht="17" hidden="1" x14ac:dyDescent="0.2">
      <c r="A374" s="1">
        <v>19</v>
      </c>
      <c r="B374" s="2" t="s">
        <v>26</v>
      </c>
      <c r="C374" s="1" t="s">
        <v>117</v>
      </c>
      <c r="D374" s="1">
        <v>29</v>
      </c>
      <c r="E374" s="3">
        <v>99435606</v>
      </c>
      <c r="F374" s="3">
        <v>81904030</v>
      </c>
      <c r="G374" s="4">
        <v>14318868</v>
      </c>
      <c r="H374" s="4">
        <v>13866</v>
      </c>
      <c r="I374" s="4">
        <v>452940</v>
      </c>
    </row>
    <row r="375" spans="1:9" ht="17" hidden="1" x14ac:dyDescent="0.2">
      <c r="A375" s="1">
        <v>22</v>
      </c>
      <c r="B375" s="2" t="s">
        <v>26</v>
      </c>
      <c r="C375" s="1" t="s">
        <v>117</v>
      </c>
      <c r="D375" s="1">
        <v>27.6</v>
      </c>
      <c r="E375" s="3">
        <v>76976823</v>
      </c>
      <c r="F375" s="3">
        <v>69391647</v>
      </c>
      <c r="G375" s="1" t="s">
        <v>1</v>
      </c>
      <c r="H375" s="4">
        <v>7320970</v>
      </c>
      <c r="I375" s="4">
        <v>264206</v>
      </c>
    </row>
    <row r="376" spans="1:9" ht="17" hidden="1" x14ac:dyDescent="0.2">
      <c r="A376" s="1">
        <v>23</v>
      </c>
      <c r="B376" s="2" t="s">
        <v>26</v>
      </c>
      <c r="C376" s="1" t="s">
        <v>117</v>
      </c>
      <c r="D376" s="1">
        <v>28.2</v>
      </c>
      <c r="E376" s="3">
        <v>71480984</v>
      </c>
      <c r="F376" s="3">
        <v>67762905</v>
      </c>
      <c r="G376" s="1" t="s">
        <v>1</v>
      </c>
      <c r="H376" s="4">
        <v>243659</v>
      </c>
      <c r="I376" s="4">
        <v>2885709</v>
      </c>
    </row>
    <row r="377" spans="1:9" ht="17" hidden="1" x14ac:dyDescent="0.2">
      <c r="A377" s="1">
        <v>28</v>
      </c>
      <c r="B377" s="2" t="s">
        <v>26</v>
      </c>
      <c r="C377" s="1" t="s">
        <v>117</v>
      </c>
      <c r="D377" s="1">
        <v>28.2</v>
      </c>
      <c r="E377" s="3">
        <v>61118682</v>
      </c>
      <c r="F377" s="3">
        <v>57932479</v>
      </c>
      <c r="G377" s="1" t="s">
        <v>1</v>
      </c>
      <c r="H377" s="4">
        <v>1550000</v>
      </c>
      <c r="I377" s="1" t="s">
        <v>1</v>
      </c>
    </row>
    <row r="378" spans="1:9" ht="17" hidden="1" x14ac:dyDescent="0.2">
      <c r="A378" s="5">
        <v>29</v>
      </c>
      <c r="B378" s="6" t="s">
        <v>26</v>
      </c>
      <c r="C378" s="5" t="s">
        <v>117</v>
      </c>
      <c r="D378" s="5">
        <v>26.9</v>
      </c>
      <c r="E378" s="7">
        <v>47140145</v>
      </c>
      <c r="F378" s="7">
        <v>45332085</v>
      </c>
      <c r="G378" s="5" t="s">
        <v>1</v>
      </c>
      <c r="H378" s="5" t="s">
        <v>1</v>
      </c>
      <c r="I378" s="5" t="s">
        <v>1</v>
      </c>
    </row>
    <row r="379" spans="1:9" ht="17" hidden="1" x14ac:dyDescent="0.2">
      <c r="A379" s="1">
        <v>6</v>
      </c>
      <c r="B379" s="2" t="s">
        <v>8</v>
      </c>
      <c r="C379" s="1" t="s">
        <v>36</v>
      </c>
      <c r="D379" s="1">
        <v>29.3</v>
      </c>
      <c r="E379" s="3">
        <v>223125239</v>
      </c>
      <c r="F379" s="3">
        <v>165519283</v>
      </c>
      <c r="G379" s="4">
        <v>28221328</v>
      </c>
      <c r="H379" s="4">
        <v>6300000</v>
      </c>
      <c r="I379" s="4">
        <v>7365058</v>
      </c>
    </row>
    <row r="380" spans="1:9" ht="17" hidden="1" x14ac:dyDescent="0.2">
      <c r="A380" s="1">
        <v>9</v>
      </c>
      <c r="B380" s="2" t="s">
        <v>8</v>
      </c>
      <c r="C380" s="1" t="s">
        <v>31</v>
      </c>
      <c r="D380" s="1">
        <v>30</v>
      </c>
      <c r="E380" s="3">
        <v>172855090</v>
      </c>
      <c r="F380" s="3">
        <v>142394254</v>
      </c>
      <c r="G380" s="4">
        <v>9034386</v>
      </c>
      <c r="H380" s="4">
        <v>2000000</v>
      </c>
      <c r="I380" s="4">
        <v>2437482</v>
      </c>
    </row>
    <row r="381" spans="1:9" ht="17" hidden="1" x14ac:dyDescent="0.2">
      <c r="A381" s="1">
        <v>5</v>
      </c>
      <c r="B381" s="2" t="s">
        <v>8</v>
      </c>
      <c r="C381" s="1" t="s">
        <v>44</v>
      </c>
      <c r="D381" s="1">
        <v>29.3</v>
      </c>
      <c r="E381" s="3">
        <v>256049558</v>
      </c>
      <c r="F381" s="3">
        <v>164627425</v>
      </c>
      <c r="G381" s="4">
        <v>71689912</v>
      </c>
      <c r="H381" s="1" t="s">
        <v>1</v>
      </c>
      <c r="I381" s="4">
        <v>3311228</v>
      </c>
    </row>
    <row r="382" spans="1:9" ht="17" hidden="1" x14ac:dyDescent="0.2">
      <c r="A382" s="1">
        <v>4</v>
      </c>
      <c r="B382" s="2" t="s">
        <v>8</v>
      </c>
      <c r="C382" s="1" t="s">
        <v>39</v>
      </c>
      <c r="D382" s="1">
        <v>29.2</v>
      </c>
      <c r="E382" s="3">
        <v>224492122</v>
      </c>
      <c r="F382" s="3">
        <v>173934032</v>
      </c>
      <c r="G382" s="4">
        <v>10925000</v>
      </c>
      <c r="H382" s="4">
        <v>4500000</v>
      </c>
      <c r="I382" s="4">
        <v>921017</v>
      </c>
    </row>
    <row r="383" spans="1:9" ht="17" hidden="1" x14ac:dyDescent="0.2">
      <c r="A383" s="1">
        <v>8</v>
      </c>
      <c r="B383" s="2" t="s">
        <v>8</v>
      </c>
      <c r="C383" s="1" t="s">
        <v>52</v>
      </c>
      <c r="D383" s="1">
        <v>29.1</v>
      </c>
      <c r="E383" s="3">
        <v>179767122</v>
      </c>
      <c r="F383" s="3">
        <v>125977584</v>
      </c>
      <c r="G383" s="4">
        <v>49745500</v>
      </c>
      <c r="H383" s="4">
        <v>1500000</v>
      </c>
      <c r="I383" s="4">
        <v>1494672</v>
      </c>
    </row>
    <row r="384" spans="1:9" ht="17" hidden="1" x14ac:dyDescent="0.2">
      <c r="A384" s="1">
        <v>7</v>
      </c>
      <c r="B384" s="2" t="s">
        <v>8</v>
      </c>
      <c r="C384" s="1" t="s">
        <v>99</v>
      </c>
      <c r="D384" s="1">
        <v>28.4</v>
      </c>
      <c r="E384" s="3">
        <v>73097954</v>
      </c>
      <c r="F384" s="3">
        <v>54293958</v>
      </c>
      <c r="G384" s="4">
        <v>3531020</v>
      </c>
      <c r="H384" s="4">
        <v>500000</v>
      </c>
      <c r="I384" s="4">
        <v>801761</v>
      </c>
    </row>
    <row r="385" spans="1:9" ht="17" hidden="1" x14ac:dyDescent="0.2">
      <c r="A385" s="1">
        <v>25</v>
      </c>
      <c r="B385" s="2" t="s">
        <v>8</v>
      </c>
      <c r="C385" s="1" t="s">
        <v>49</v>
      </c>
      <c r="D385" s="1">
        <v>25.6</v>
      </c>
      <c r="E385" s="3">
        <v>103699790</v>
      </c>
      <c r="F385" s="3">
        <v>65446794</v>
      </c>
      <c r="G385" s="4">
        <v>10746013</v>
      </c>
      <c r="H385" s="4">
        <v>2700000</v>
      </c>
      <c r="I385" s="4">
        <v>2138027</v>
      </c>
    </row>
    <row r="386" spans="1:9" ht="17" hidden="1" x14ac:dyDescent="0.2">
      <c r="A386" s="1">
        <v>28</v>
      </c>
      <c r="B386" s="2" t="s">
        <v>8</v>
      </c>
      <c r="C386" s="1" t="s">
        <v>117</v>
      </c>
      <c r="D386" s="1">
        <v>26</v>
      </c>
      <c r="E386" s="3">
        <v>102710815</v>
      </c>
      <c r="F386" s="3">
        <v>50099477</v>
      </c>
      <c r="G386" s="4">
        <v>5702300</v>
      </c>
      <c r="H386" s="4">
        <v>500000</v>
      </c>
      <c r="I386" s="4">
        <v>1884608</v>
      </c>
    </row>
    <row r="387" spans="1:9" ht="17" hidden="1" x14ac:dyDescent="0.2">
      <c r="A387" s="1">
        <v>30</v>
      </c>
      <c r="B387" s="10" t="s">
        <v>8</v>
      </c>
      <c r="C387" s="1" t="s">
        <v>117</v>
      </c>
      <c r="D387" s="1">
        <v>26.5</v>
      </c>
      <c r="E387" s="3">
        <v>76921678</v>
      </c>
      <c r="F387" s="3">
        <v>23930424</v>
      </c>
      <c r="G387" s="4">
        <v>5182750</v>
      </c>
      <c r="H387" s="4">
        <v>1000000</v>
      </c>
      <c r="I387" s="4">
        <v>5014521</v>
      </c>
    </row>
    <row r="388" spans="1:9" ht="17" hidden="1" x14ac:dyDescent="0.2">
      <c r="A388" s="1">
        <v>30</v>
      </c>
      <c r="B388" s="10" t="s">
        <v>8</v>
      </c>
      <c r="C388" s="1" t="s">
        <v>117</v>
      </c>
      <c r="D388" s="1">
        <v>27.2</v>
      </c>
      <c r="E388" s="3">
        <v>83435559</v>
      </c>
      <c r="F388" s="3">
        <v>21508794</v>
      </c>
      <c r="G388" s="4">
        <v>13711664</v>
      </c>
      <c r="H388" s="4">
        <v>7296914</v>
      </c>
      <c r="I388" s="4">
        <v>33286</v>
      </c>
    </row>
    <row r="389" spans="1:9" ht="17" hidden="1" x14ac:dyDescent="0.2">
      <c r="A389" s="1">
        <v>18</v>
      </c>
      <c r="B389" s="2" t="s">
        <v>8</v>
      </c>
      <c r="C389" s="1" t="s">
        <v>117</v>
      </c>
      <c r="D389" s="1">
        <v>27.6</v>
      </c>
      <c r="E389" s="3">
        <v>107915272</v>
      </c>
      <c r="F389" s="3">
        <v>93212255</v>
      </c>
      <c r="G389" s="4">
        <v>11029819</v>
      </c>
      <c r="H389" s="4">
        <v>3267222</v>
      </c>
      <c r="I389" s="4">
        <v>405976</v>
      </c>
    </row>
    <row r="390" spans="1:9" ht="17" hidden="1" x14ac:dyDescent="0.2">
      <c r="A390" s="1">
        <v>24</v>
      </c>
      <c r="B390" s="2" t="s">
        <v>8</v>
      </c>
      <c r="C390" s="1" t="s">
        <v>117</v>
      </c>
      <c r="D390" s="1">
        <v>27.6</v>
      </c>
      <c r="E390" s="3">
        <v>85001967</v>
      </c>
      <c r="F390" s="3">
        <v>67296350</v>
      </c>
      <c r="G390" s="4">
        <v>501400</v>
      </c>
      <c r="H390" s="4">
        <v>5020901</v>
      </c>
      <c r="I390" s="4">
        <v>609474</v>
      </c>
    </row>
    <row r="391" spans="1:9" ht="17" hidden="1" x14ac:dyDescent="0.2">
      <c r="A391" s="1">
        <v>25</v>
      </c>
      <c r="B391" s="2" t="s">
        <v>8</v>
      </c>
      <c r="C391" s="1" t="s">
        <v>117</v>
      </c>
      <c r="D391" s="1">
        <v>27.4</v>
      </c>
      <c r="E391" s="3">
        <v>67649701</v>
      </c>
      <c r="F391" s="3">
        <v>64220894</v>
      </c>
      <c r="G391" s="1" t="s">
        <v>1</v>
      </c>
      <c r="H391" s="4">
        <v>2345939</v>
      </c>
      <c r="I391" s="4">
        <v>190246</v>
      </c>
    </row>
    <row r="392" spans="1:9" ht="17" hidden="1" x14ac:dyDescent="0.2">
      <c r="A392" s="1">
        <v>27</v>
      </c>
      <c r="B392" s="2" t="s">
        <v>8</v>
      </c>
      <c r="C392" s="1" t="s">
        <v>117</v>
      </c>
      <c r="D392" s="1">
        <v>27.3</v>
      </c>
      <c r="E392" s="3">
        <v>63831125</v>
      </c>
      <c r="F392" s="3">
        <v>60053625</v>
      </c>
      <c r="G392" s="1" t="s">
        <v>1</v>
      </c>
      <c r="H392" s="4">
        <v>2550000</v>
      </c>
      <c r="I392" s="4">
        <v>1227500</v>
      </c>
    </row>
    <row r="393" spans="1:9" ht="17" hidden="1" x14ac:dyDescent="0.2">
      <c r="A393" s="1">
        <v>27</v>
      </c>
      <c r="B393" s="10" t="s">
        <v>8</v>
      </c>
      <c r="C393" s="1" t="s">
        <v>117</v>
      </c>
      <c r="D393" s="1">
        <v>27.9</v>
      </c>
      <c r="E393" s="3">
        <v>48018810</v>
      </c>
      <c r="F393" s="3">
        <v>47418810</v>
      </c>
      <c r="G393" s="1" t="s">
        <v>1</v>
      </c>
      <c r="H393" s="4">
        <v>600000</v>
      </c>
      <c r="I393" s="1" t="s">
        <v>1</v>
      </c>
    </row>
    <row r="394" spans="1:9" ht="17" hidden="1" x14ac:dyDescent="0.2">
      <c r="A394" s="1">
        <v>12</v>
      </c>
      <c r="B394" s="2" t="s">
        <v>15</v>
      </c>
      <c r="C394" s="1" t="s">
        <v>36</v>
      </c>
      <c r="D394" s="1">
        <v>28</v>
      </c>
      <c r="E394" s="3">
        <v>165596493</v>
      </c>
      <c r="F394" s="3">
        <v>128418817</v>
      </c>
      <c r="G394" s="4">
        <v>3179691</v>
      </c>
      <c r="H394" s="4">
        <v>1750000</v>
      </c>
      <c r="I394" s="4">
        <v>8432246</v>
      </c>
    </row>
    <row r="395" spans="1:9" ht="17" hidden="1" x14ac:dyDescent="0.2">
      <c r="A395" s="1">
        <v>15</v>
      </c>
      <c r="B395" s="2" t="s">
        <v>15</v>
      </c>
      <c r="C395" s="1" t="s">
        <v>59</v>
      </c>
      <c r="D395" s="1">
        <v>28.5</v>
      </c>
      <c r="E395" s="3">
        <v>149346087</v>
      </c>
      <c r="F395" s="3">
        <v>93942034</v>
      </c>
      <c r="G395" s="4">
        <v>29288727</v>
      </c>
      <c r="H395" s="4">
        <v>750000</v>
      </c>
      <c r="I395" s="4">
        <v>2396735</v>
      </c>
    </row>
    <row r="396" spans="1:9" ht="17" hidden="1" x14ac:dyDescent="0.2">
      <c r="A396" s="1">
        <v>19</v>
      </c>
      <c r="B396" s="2" t="s">
        <v>15</v>
      </c>
      <c r="C396" s="1" t="s">
        <v>50</v>
      </c>
      <c r="D396" s="1">
        <v>27.1</v>
      </c>
      <c r="E396" s="3">
        <v>127993987</v>
      </c>
      <c r="F396" s="3">
        <v>72174032</v>
      </c>
      <c r="G396" s="4">
        <v>27157168</v>
      </c>
      <c r="H396" s="1" t="s">
        <v>1</v>
      </c>
      <c r="I396" s="4">
        <v>4091540</v>
      </c>
    </row>
    <row r="397" spans="1:9" ht="17" hidden="1" x14ac:dyDescent="0.2">
      <c r="A397" s="1">
        <v>16</v>
      </c>
      <c r="B397" s="2" t="s">
        <v>15</v>
      </c>
      <c r="C397" s="1" t="s">
        <v>36</v>
      </c>
      <c r="D397" s="1">
        <v>27.7</v>
      </c>
      <c r="E397" s="3">
        <v>113926407</v>
      </c>
      <c r="F397" s="3">
        <v>84933408</v>
      </c>
      <c r="G397" s="4">
        <v>9896644</v>
      </c>
      <c r="H397" s="4">
        <v>500000</v>
      </c>
      <c r="I397" s="4">
        <v>5415822</v>
      </c>
    </row>
    <row r="398" spans="1:9" s="9" customFormat="1" ht="17" hidden="1" x14ac:dyDescent="0.2">
      <c r="A398" s="1">
        <v>18</v>
      </c>
      <c r="B398" s="2" t="s">
        <v>15</v>
      </c>
      <c r="C398" s="1" t="s">
        <v>36</v>
      </c>
      <c r="D398" s="1">
        <v>27.4</v>
      </c>
      <c r="E398" s="3">
        <v>83822113</v>
      </c>
      <c r="F398" s="3">
        <v>57010274</v>
      </c>
      <c r="G398" s="4">
        <v>16037933</v>
      </c>
      <c r="H398" s="4">
        <v>2000000</v>
      </c>
      <c r="I398" s="4">
        <v>2199327</v>
      </c>
    </row>
    <row r="399" spans="1:9" ht="17" hidden="1" x14ac:dyDescent="0.2">
      <c r="A399" s="1">
        <v>23</v>
      </c>
      <c r="B399" s="2" t="s">
        <v>15</v>
      </c>
      <c r="C399" s="1" t="s">
        <v>108</v>
      </c>
      <c r="D399" s="1">
        <v>26.8</v>
      </c>
      <c r="E399" s="3">
        <v>51433829</v>
      </c>
      <c r="F399" s="3">
        <v>25865136</v>
      </c>
      <c r="G399" s="4">
        <v>3268960</v>
      </c>
      <c r="H399" s="4">
        <v>1500000</v>
      </c>
      <c r="I399" s="4">
        <v>1035465</v>
      </c>
    </row>
    <row r="400" spans="1:9" ht="17" hidden="1" x14ac:dyDescent="0.2">
      <c r="A400" s="1">
        <v>16</v>
      </c>
      <c r="B400" s="2" t="s">
        <v>15</v>
      </c>
      <c r="C400" s="1" t="s">
        <v>86</v>
      </c>
      <c r="D400" s="1">
        <v>26.9</v>
      </c>
      <c r="E400" s="3">
        <v>144388309</v>
      </c>
      <c r="F400" s="3">
        <v>84703863</v>
      </c>
      <c r="G400" s="4">
        <v>5638913</v>
      </c>
      <c r="H400" s="4">
        <v>5450000</v>
      </c>
      <c r="I400" s="4">
        <v>1015441</v>
      </c>
    </row>
    <row r="401" spans="1:9" ht="17" hidden="1" x14ac:dyDescent="0.2">
      <c r="A401" s="1">
        <v>6</v>
      </c>
      <c r="B401" s="2" t="s">
        <v>15</v>
      </c>
      <c r="C401" s="1" t="s">
        <v>117</v>
      </c>
      <c r="D401" s="1">
        <v>29.4</v>
      </c>
      <c r="E401" s="3">
        <v>160993827</v>
      </c>
      <c r="F401" s="3">
        <v>136839663</v>
      </c>
      <c r="G401" s="4">
        <v>13496812</v>
      </c>
      <c r="H401" s="4">
        <v>3000000</v>
      </c>
      <c r="I401" s="4">
        <v>1296012</v>
      </c>
    </row>
    <row r="402" spans="1:9" ht="17" hidden="1" x14ac:dyDescent="0.2">
      <c r="A402" s="1">
        <v>12</v>
      </c>
      <c r="B402" s="2" t="s">
        <v>15</v>
      </c>
      <c r="C402" s="1" t="s">
        <v>117</v>
      </c>
      <c r="D402" s="1">
        <v>28.4</v>
      </c>
      <c r="E402" s="3">
        <v>160797330</v>
      </c>
      <c r="F402" s="3">
        <v>120728483</v>
      </c>
      <c r="G402" s="4">
        <v>29449738</v>
      </c>
      <c r="H402" s="1" t="s">
        <v>1</v>
      </c>
      <c r="I402" s="4">
        <v>1389132</v>
      </c>
    </row>
    <row r="403" spans="1:9" ht="17" hidden="1" x14ac:dyDescent="0.2">
      <c r="A403" s="1">
        <v>11</v>
      </c>
      <c r="B403" s="2" t="s">
        <v>15</v>
      </c>
      <c r="C403" s="1" t="s">
        <v>117</v>
      </c>
      <c r="D403" s="1">
        <v>28.6</v>
      </c>
      <c r="E403" s="3">
        <v>147003780</v>
      </c>
      <c r="F403" s="3">
        <v>132303221</v>
      </c>
      <c r="G403" s="4">
        <v>4036934</v>
      </c>
      <c r="H403" s="4">
        <v>813515</v>
      </c>
      <c r="I403" s="4">
        <v>732035</v>
      </c>
    </row>
    <row r="404" spans="1:9" ht="17" hidden="1" x14ac:dyDescent="0.2">
      <c r="A404" s="1">
        <v>15</v>
      </c>
      <c r="B404" s="2" t="s">
        <v>15</v>
      </c>
      <c r="C404" s="1" t="s">
        <v>117</v>
      </c>
      <c r="D404" s="1">
        <v>27.5</v>
      </c>
      <c r="E404" s="3">
        <v>126045473</v>
      </c>
      <c r="F404" s="3">
        <v>95874782</v>
      </c>
      <c r="G404" s="4">
        <v>1383169</v>
      </c>
      <c r="H404" s="4">
        <v>25921321</v>
      </c>
      <c r="I404" s="4">
        <v>2866201</v>
      </c>
    </row>
    <row r="405" spans="1:9" ht="17" hidden="1" x14ac:dyDescent="0.2">
      <c r="A405" s="1">
        <v>14</v>
      </c>
      <c r="B405" s="2" t="s">
        <v>15</v>
      </c>
      <c r="C405" s="1" t="s">
        <v>117</v>
      </c>
      <c r="D405" s="1">
        <v>27.5</v>
      </c>
      <c r="E405" s="3">
        <v>115534174</v>
      </c>
      <c r="F405" s="3">
        <v>100330060</v>
      </c>
      <c r="G405" s="1" t="s">
        <v>1</v>
      </c>
      <c r="H405" s="4">
        <v>2845710</v>
      </c>
      <c r="I405" s="4">
        <v>1700000</v>
      </c>
    </row>
    <row r="406" spans="1:9" ht="17" hidden="1" x14ac:dyDescent="0.2">
      <c r="A406" s="1">
        <v>26</v>
      </c>
      <c r="B406" s="2" t="s">
        <v>15</v>
      </c>
      <c r="C406" s="1" t="s">
        <v>117</v>
      </c>
      <c r="D406" s="1">
        <v>26.8</v>
      </c>
      <c r="E406" s="3">
        <v>82720022</v>
      </c>
      <c r="F406" s="3">
        <v>63758496</v>
      </c>
      <c r="G406" s="1" t="s">
        <v>1</v>
      </c>
      <c r="H406" s="4">
        <v>5304370</v>
      </c>
      <c r="I406" s="4">
        <v>243660</v>
      </c>
    </row>
    <row r="407" spans="1:9" ht="17" hidden="1" x14ac:dyDescent="0.2">
      <c r="A407" s="1">
        <v>23</v>
      </c>
      <c r="B407" s="2" t="s">
        <v>15</v>
      </c>
      <c r="C407" s="1" t="s">
        <v>117</v>
      </c>
      <c r="D407" s="1">
        <v>26.7</v>
      </c>
      <c r="E407" s="3">
        <v>83289928</v>
      </c>
      <c r="F407" s="3">
        <v>73071348</v>
      </c>
      <c r="G407" s="1" t="s">
        <v>1</v>
      </c>
      <c r="H407" s="1" t="s">
        <v>1</v>
      </c>
      <c r="I407" s="1" t="s">
        <v>1</v>
      </c>
    </row>
    <row r="408" spans="1:9" ht="17" hidden="1" x14ac:dyDescent="0.2">
      <c r="A408" s="5">
        <v>17</v>
      </c>
      <c r="B408" s="6" t="s">
        <v>15</v>
      </c>
      <c r="C408" s="5" t="s">
        <v>117</v>
      </c>
      <c r="D408" s="5">
        <v>26.9</v>
      </c>
      <c r="E408" s="7">
        <v>100829148</v>
      </c>
      <c r="F408" s="7">
        <v>88307834</v>
      </c>
      <c r="G408" s="5" t="s">
        <v>1</v>
      </c>
      <c r="H408" s="8">
        <v>250000</v>
      </c>
      <c r="I408" s="5" t="s">
        <v>1</v>
      </c>
    </row>
    <row r="409" spans="1:9" ht="17" hidden="1" x14ac:dyDescent="0.2">
      <c r="A409" s="1">
        <v>9</v>
      </c>
      <c r="B409" s="2" t="s">
        <v>11</v>
      </c>
      <c r="C409" s="1" t="s">
        <v>38</v>
      </c>
      <c r="D409" s="1">
        <v>28.4</v>
      </c>
      <c r="E409" s="3">
        <v>178562152</v>
      </c>
      <c r="F409" s="3">
        <v>136191076</v>
      </c>
      <c r="G409" s="4">
        <v>7481768</v>
      </c>
      <c r="H409" s="4">
        <v>250000</v>
      </c>
      <c r="I409" s="4">
        <v>3134646</v>
      </c>
    </row>
    <row r="410" spans="1:9" ht="17" hidden="1" x14ac:dyDescent="0.2">
      <c r="A410" s="1">
        <v>13</v>
      </c>
      <c r="B410" s="2" t="s">
        <v>11</v>
      </c>
      <c r="C410" s="1" t="s">
        <v>45</v>
      </c>
      <c r="D410" s="1">
        <v>27.6</v>
      </c>
      <c r="E410" s="3">
        <v>207092069</v>
      </c>
      <c r="F410" s="3">
        <v>102712248</v>
      </c>
      <c r="G410" s="4">
        <v>53530513</v>
      </c>
      <c r="H410" s="4">
        <v>2000000</v>
      </c>
      <c r="I410" s="4">
        <v>6491662</v>
      </c>
    </row>
    <row r="411" spans="1:9" ht="17" hidden="1" x14ac:dyDescent="0.2">
      <c r="A411" s="1">
        <v>10</v>
      </c>
      <c r="B411" s="2" t="s">
        <v>11</v>
      </c>
      <c r="C411" s="1" t="s">
        <v>52</v>
      </c>
      <c r="D411" s="1">
        <v>28.1</v>
      </c>
      <c r="E411" s="3">
        <v>189413646</v>
      </c>
      <c r="F411" s="3">
        <v>130565831</v>
      </c>
      <c r="G411" s="4">
        <v>41922449</v>
      </c>
      <c r="H411" s="4">
        <v>517712</v>
      </c>
      <c r="I411" s="4">
        <v>1653375</v>
      </c>
    </row>
    <row r="412" spans="1:9" ht="17" hidden="1" x14ac:dyDescent="0.2">
      <c r="A412" s="1">
        <v>26</v>
      </c>
      <c r="B412" s="2" t="s">
        <v>11</v>
      </c>
      <c r="C412" s="1" t="s">
        <v>38</v>
      </c>
      <c r="D412" s="1">
        <v>28.3</v>
      </c>
      <c r="E412" s="3">
        <v>162453046</v>
      </c>
      <c r="F412" s="3">
        <v>43246200</v>
      </c>
      <c r="G412" s="4">
        <v>90082706</v>
      </c>
      <c r="H412" s="4">
        <v>5000000</v>
      </c>
      <c r="I412" s="4">
        <v>3472538</v>
      </c>
    </row>
    <row r="413" spans="1:9" ht="17" hidden="1" x14ac:dyDescent="0.2">
      <c r="A413" s="1">
        <v>7</v>
      </c>
      <c r="B413" s="2" t="s">
        <v>11</v>
      </c>
      <c r="C413" s="1" t="s">
        <v>89</v>
      </c>
      <c r="D413" s="1">
        <v>30</v>
      </c>
      <c r="E413" s="3">
        <v>171890308</v>
      </c>
      <c r="F413" s="3">
        <v>134386796</v>
      </c>
      <c r="G413" s="4">
        <v>19766740</v>
      </c>
      <c r="H413" s="4">
        <v>8000000</v>
      </c>
      <c r="I413" s="4">
        <v>4778553</v>
      </c>
    </row>
    <row r="414" spans="1:9" ht="17" hidden="1" x14ac:dyDescent="0.2">
      <c r="A414" s="1">
        <v>15</v>
      </c>
      <c r="B414" s="2" t="s">
        <v>11</v>
      </c>
      <c r="C414" s="1" t="s">
        <v>96</v>
      </c>
      <c r="D414" s="1">
        <v>29</v>
      </c>
      <c r="E414" s="3">
        <v>73408817</v>
      </c>
      <c r="F414" s="3">
        <v>40562214</v>
      </c>
      <c r="G414" s="4">
        <v>1428006</v>
      </c>
      <c r="H414" s="4">
        <v>37380</v>
      </c>
      <c r="I414" s="4">
        <v>8718276</v>
      </c>
    </row>
    <row r="415" spans="1:9" ht="17" hidden="1" x14ac:dyDescent="0.2">
      <c r="A415" s="1">
        <v>7</v>
      </c>
      <c r="B415" s="2" t="s">
        <v>11</v>
      </c>
      <c r="C415" s="1" t="s">
        <v>51</v>
      </c>
      <c r="D415" s="1">
        <v>27.8</v>
      </c>
      <c r="E415" s="3">
        <v>178582126</v>
      </c>
      <c r="F415" s="3">
        <v>137019224</v>
      </c>
      <c r="G415" s="4">
        <v>9768564</v>
      </c>
      <c r="H415" s="1" t="s">
        <v>1</v>
      </c>
      <c r="I415" s="4">
        <v>552436</v>
      </c>
    </row>
    <row r="416" spans="1:9" ht="17" hidden="1" x14ac:dyDescent="0.2">
      <c r="A416" s="1">
        <v>10</v>
      </c>
      <c r="B416" s="2" t="s">
        <v>11</v>
      </c>
      <c r="C416" s="1" t="s">
        <v>117</v>
      </c>
      <c r="D416" s="1">
        <v>28.4</v>
      </c>
      <c r="E416" s="3">
        <v>205665348</v>
      </c>
      <c r="F416" s="3">
        <v>119689218</v>
      </c>
      <c r="G416" s="4">
        <v>64341827</v>
      </c>
      <c r="H416" s="4">
        <v>7500000</v>
      </c>
      <c r="I416" s="4">
        <v>498250</v>
      </c>
    </row>
    <row r="417" spans="1:9" ht="17" hidden="1" x14ac:dyDescent="0.2">
      <c r="A417" s="1">
        <v>3</v>
      </c>
      <c r="B417" s="2" t="s">
        <v>11</v>
      </c>
      <c r="C417" s="1" t="s">
        <v>117</v>
      </c>
      <c r="D417" s="1">
        <v>28.1</v>
      </c>
      <c r="E417" s="3">
        <v>189806809</v>
      </c>
      <c r="F417" s="3">
        <v>171792784</v>
      </c>
      <c r="G417" s="4">
        <v>7219058</v>
      </c>
      <c r="H417" s="1" t="s">
        <v>1</v>
      </c>
      <c r="I417" s="4">
        <v>4439995</v>
      </c>
    </row>
    <row r="418" spans="1:9" ht="17" hidden="1" x14ac:dyDescent="0.2">
      <c r="A418" s="1">
        <v>2</v>
      </c>
      <c r="B418" s="2" t="s">
        <v>11</v>
      </c>
      <c r="C418" s="1" t="s">
        <v>117</v>
      </c>
      <c r="D418" s="1">
        <v>29.2</v>
      </c>
      <c r="E418" s="3">
        <v>178834344</v>
      </c>
      <c r="F418" s="3">
        <v>176684532</v>
      </c>
      <c r="G418" s="4">
        <v>487120</v>
      </c>
      <c r="H418" s="4">
        <v>730505</v>
      </c>
      <c r="I418" s="4">
        <v>579729</v>
      </c>
    </row>
    <row r="419" spans="1:9" ht="17" hidden="1" x14ac:dyDescent="0.2">
      <c r="A419" s="1">
        <v>4</v>
      </c>
      <c r="B419" s="2" t="s">
        <v>11</v>
      </c>
      <c r="C419" s="1" t="s">
        <v>117</v>
      </c>
      <c r="D419" s="1">
        <v>29.4</v>
      </c>
      <c r="E419" s="3">
        <v>181613630</v>
      </c>
      <c r="F419" s="3">
        <v>133109385</v>
      </c>
      <c r="G419" s="4">
        <v>38423837</v>
      </c>
      <c r="H419" s="4">
        <v>7522089</v>
      </c>
      <c r="I419" s="4">
        <v>2558319</v>
      </c>
    </row>
    <row r="420" spans="1:9" ht="17" hidden="1" x14ac:dyDescent="0.2">
      <c r="A420" s="1">
        <v>3</v>
      </c>
      <c r="B420" s="2" t="s">
        <v>11</v>
      </c>
      <c r="C420" s="1" t="s">
        <v>117</v>
      </c>
      <c r="D420" s="1">
        <v>28.8</v>
      </c>
      <c r="E420" s="3">
        <v>160336782</v>
      </c>
      <c r="F420" s="3">
        <v>152735333</v>
      </c>
      <c r="G420" s="1" t="s">
        <v>1</v>
      </c>
      <c r="H420" s="4">
        <v>7300000</v>
      </c>
      <c r="I420" s="4">
        <v>100000</v>
      </c>
    </row>
    <row r="421" spans="1:9" ht="17" hidden="1" x14ac:dyDescent="0.2">
      <c r="A421" s="1">
        <v>6</v>
      </c>
      <c r="B421" s="2" t="s">
        <v>11</v>
      </c>
      <c r="C421" s="1" t="s">
        <v>117</v>
      </c>
      <c r="D421" s="1">
        <v>28.4</v>
      </c>
      <c r="E421" s="3">
        <v>140280186</v>
      </c>
      <c r="F421" s="3">
        <v>137880980</v>
      </c>
      <c r="G421" s="1" t="s">
        <v>1</v>
      </c>
      <c r="H421" s="4">
        <v>2157977</v>
      </c>
      <c r="I421" s="4">
        <v>241229</v>
      </c>
    </row>
    <row r="422" spans="1:9" ht="17" hidden="1" x14ac:dyDescent="0.2">
      <c r="A422" s="1">
        <v>7</v>
      </c>
      <c r="B422" s="2" t="s">
        <v>11</v>
      </c>
      <c r="C422" s="1" t="s">
        <v>117</v>
      </c>
      <c r="D422" s="1">
        <v>29</v>
      </c>
      <c r="E422" s="3">
        <v>137043205</v>
      </c>
      <c r="F422" s="3">
        <v>122345338</v>
      </c>
      <c r="G422" s="1" t="s">
        <v>1</v>
      </c>
      <c r="H422" s="4">
        <v>13859615</v>
      </c>
      <c r="I422" s="1" t="s">
        <v>1</v>
      </c>
    </row>
    <row r="423" spans="1:9" ht="17" hidden="1" x14ac:dyDescent="0.2">
      <c r="A423" s="1">
        <v>5</v>
      </c>
      <c r="B423" s="10" t="s">
        <v>11</v>
      </c>
      <c r="C423" s="1" t="s">
        <v>117</v>
      </c>
      <c r="D423" s="1">
        <v>29</v>
      </c>
      <c r="E423" s="3">
        <v>125242452</v>
      </c>
      <c r="F423" s="3">
        <v>124142452</v>
      </c>
      <c r="G423" s="1" t="s">
        <v>1</v>
      </c>
      <c r="H423" s="4">
        <v>1100000</v>
      </c>
      <c r="I423" s="1" t="s">
        <v>1</v>
      </c>
    </row>
    <row r="424" spans="1:9" ht="17" hidden="1" x14ac:dyDescent="0.2">
      <c r="A424" s="1">
        <v>16</v>
      </c>
      <c r="B424" s="2" t="s">
        <v>19</v>
      </c>
      <c r="C424" s="1" t="s">
        <v>42</v>
      </c>
      <c r="D424" s="1">
        <v>27.1</v>
      </c>
      <c r="E424" s="3">
        <v>131152698</v>
      </c>
      <c r="F424" s="3">
        <v>86756503</v>
      </c>
      <c r="G424" s="4">
        <v>19543050</v>
      </c>
      <c r="H424" s="1" t="s">
        <v>1</v>
      </c>
      <c r="I424" s="4">
        <v>1293004</v>
      </c>
    </row>
    <row r="425" spans="1:9" ht="17" hidden="1" x14ac:dyDescent="0.2">
      <c r="A425" s="1">
        <v>12</v>
      </c>
      <c r="B425" s="2" t="s">
        <v>19</v>
      </c>
      <c r="C425" s="1" t="s">
        <v>32</v>
      </c>
      <c r="D425" s="1">
        <v>28</v>
      </c>
      <c r="E425" s="3">
        <v>179440274</v>
      </c>
      <c r="F425" s="3">
        <v>112213666</v>
      </c>
      <c r="G425" s="4">
        <v>44602200</v>
      </c>
      <c r="H425" s="4">
        <v>6500000</v>
      </c>
      <c r="I425" s="4">
        <v>1100353</v>
      </c>
    </row>
    <row r="426" spans="1:9" ht="17" hidden="1" x14ac:dyDescent="0.2">
      <c r="A426" s="1">
        <v>15</v>
      </c>
      <c r="B426" s="2" t="s">
        <v>19</v>
      </c>
      <c r="C426" s="1" t="s">
        <v>48</v>
      </c>
      <c r="D426" s="1">
        <v>27.8</v>
      </c>
      <c r="E426" s="3">
        <v>153793028</v>
      </c>
      <c r="F426" s="3">
        <v>83908832</v>
      </c>
      <c r="G426" s="4">
        <v>48168555</v>
      </c>
      <c r="H426" s="1" t="s">
        <v>1</v>
      </c>
      <c r="I426" s="4">
        <v>1155426</v>
      </c>
    </row>
    <row r="427" spans="1:9" ht="17" hidden="1" x14ac:dyDescent="0.2">
      <c r="A427" s="1">
        <v>10</v>
      </c>
      <c r="B427" s="2" t="s">
        <v>19</v>
      </c>
      <c r="C427" s="1" t="s">
        <v>31</v>
      </c>
      <c r="D427" s="1">
        <v>28.8</v>
      </c>
      <c r="E427" s="3">
        <v>156428325</v>
      </c>
      <c r="F427" s="3">
        <v>134723541</v>
      </c>
      <c r="G427" s="4">
        <v>8750000</v>
      </c>
      <c r="H427" s="1" t="s">
        <v>1</v>
      </c>
      <c r="I427" s="4">
        <v>3384971</v>
      </c>
    </row>
    <row r="428" spans="1:9" s="9" customFormat="1" ht="17" hidden="1" x14ac:dyDescent="0.2">
      <c r="A428" s="1">
        <v>10</v>
      </c>
      <c r="B428" s="2" t="s">
        <v>19</v>
      </c>
      <c r="C428" s="1" t="s">
        <v>36</v>
      </c>
      <c r="D428" s="1">
        <v>29.5</v>
      </c>
      <c r="E428" s="3">
        <v>151469994</v>
      </c>
      <c r="F428" s="3">
        <v>116018560</v>
      </c>
      <c r="G428" s="4">
        <v>14512682</v>
      </c>
      <c r="H428" s="4">
        <v>2500000</v>
      </c>
      <c r="I428" s="4">
        <v>1179623</v>
      </c>
    </row>
    <row r="429" spans="1:9" ht="17" hidden="1" x14ac:dyDescent="0.2">
      <c r="A429" s="1">
        <v>9</v>
      </c>
      <c r="B429" s="2" t="s">
        <v>19</v>
      </c>
      <c r="C429" s="1" t="s">
        <v>101</v>
      </c>
      <c r="D429" s="1">
        <v>28</v>
      </c>
      <c r="E429" s="3">
        <v>73246343</v>
      </c>
      <c r="F429" s="3">
        <v>51757860</v>
      </c>
      <c r="G429" s="4">
        <v>12343763</v>
      </c>
      <c r="H429" s="4">
        <v>1000000</v>
      </c>
      <c r="I429" s="4">
        <v>1087757</v>
      </c>
    </row>
    <row r="430" spans="1:9" ht="17" hidden="1" x14ac:dyDescent="0.2">
      <c r="A430" s="1">
        <v>8</v>
      </c>
      <c r="B430" s="2" t="s">
        <v>19</v>
      </c>
      <c r="C430" s="1" t="s">
        <v>63</v>
      </c>
      <c r="D430" s="1">
        <v>27.3</v>
      </c>
      <c r="E430" s="3">
        <v>173762164</v>
      </c>
      <c r="F430" s="3">
        <v>135268456</v>
      </c>
      <c r="G430" s="4">
        <v>21794083</v>
      </c>
      <c r="H430" s="1" t="s">
        <v>1</v>
      </c>
      <c r="I430" s="4">
        <v>271874</v>
      </c>
    </row>
    <row r="431" spans="1:9" ht="17" hidden="1" x14ac:dyDescent="0.2">
      <c r="A431" s="1">
        <v>11</v>
      </c>
      <c r="B431" s="2" t="s">
        <v>19</v>
      </c>
      <c r="C431" s="1" t="s">
        <v>117</v>
      </c>
      <c r="D431" s="1">
        <v>26.8</v>
      </c>
      <c r="E431" s="3">
        <v>163534311</v>
      </c>
      <c r="F431" s="3">
        <v>113741329</v>
      </c>
      <c r="G431" s="4">
        <v>27345600</v>
      </c>
      <c r="H431" s="1" t="s">
        <v>1</v>
      </c>
      <c r="I431" s="4">
        <v>1539584</v>
      </c>
    </row>
    <row r="432" spans="1:9" ht="17" hidden="1" x14ac:dyDescent="0.2">
      <c r="A432" s="1">
        <v>16</v>
      </c>
      <c r="B432" s="2" t="s">
        <v>19</v>
      </c>
      <c r="C432" s="1" t="s">
        <v>117</v>
      </c>
      <c r="D432" s="1">
        <v>27</v>
      </c>
      <c r="E432" s="3">
        <v>146256085</v>
      </c>
      <c r="F432" s="3">
        <v>107961954</v>
      </c>
      <c r="G432" s="4">
        <v>6935000</v>
      </c>
      <c r="H432" s="4">
        <v>3750000</v>
      </c>
      <c r="I432" s="4">
        <v>587006</v>
      </c>
    </row>
    <row r="433" spans="1:9" ht="17" hidden="1" x14ac:dyDescent="0.2">
      <c r="A433" s="1">
        <v>10</v>
      </c>
      <c r="B433" s="2" t="s">
        <v>19</v>
      </c>
      <c r="C433" s="1" t="s">
        <v>117</v>
      </c>
      <c r="D433" s="1">
        <v>27.9</v>
      </c>
      <c r="E433" s="3">
        <v>149355870</v>
      </c>
      <c r="F433" s="3">
        <v>132790389</v>
      </c>
      <c r="G433" s="4">
        <v>13596500</v>
      </c>
      <c r="H433" s="4">
        <v>2968981</v>
      </c>
      <c r="I433" s="1" t="s">
        <v>1</v>
      </c>
    </row>
    <row r="434" spans="1:9" ht="17" hidden="1" x14ac:dyDescent="0.2">
      <c r="A434" s="1">
        <v>5</v>
      </c>
      <c r="B434" s="2" t="s">
        <v>19</v>
      </c>
      <c r="C434" s="1" t="s">
        <v>117</v>
      </c>
      <c r="D434" s="1">
        <v>28.4</v>
      </c>
      <c r="E434" s="3">
        <v>132178951</v>
      </c>
      <c r="F434" s="3">
        <v>128814787</v>
      </c>
      <c r="G434" s="4">
        <v>3195000</v>
      </c>
      <c r="H434" s="1" t="s">
        <v>1</v>
      </c>
      <c r="I434" s="4">
        <v>169164</v>
      </c>
    </row>
    <row r="435" spans="1:9" ht="17" hidden="1" x14ac:dyDescent="0.2">
      <c r="A435" s="1">
        <v>10</v>
      </c>
      <c r="B435" s="2" t="s">
        <v>19</v>
      </c>
      <c r="C435" s="1" t="s">
        <v>117</v>
      </c>
      <c r="D435" s="1">
        <v>27.5</v>
      </c>
      <c r="E435" s="3">
        <v>121340470</v>
      </c>
      <c r="F435" s="3">
        <v>114640584</v>
      </c>
      <c r="G435" s="1" t="s">
        <v>1</v>
      </c>
      <c r="H435" s="4">
        <v>3500000</v>
      </c>
      <c r="I435" s="4">
        <v>1000000</v>
      </c>
    </row>
    <row r="436" spans="1:9" ht="17" hidden="1" x14ac:dyDescent="0.2">
      <c r="A436" s="1">
        <v>10</v>
      </c>
      <c r="B436" s="2" t="s">
        <v>19</v>
      </c>
      <c r="C436" s="1" t="s">
        <v>117</v>
      </c>
      <c r="D436" s="1">
        <v>27.8</v>
      </c>
      <c r="E436" s="3">
        <v>120192638</v>
      </c>
      <c r="F436" s="3">
        <v>114729933</v>
      </c>
      <c r="G436" s="1" t="s">
        <v>1</v>
      </c>
      <c r="H436" s="4">
        <v>3782787</v>
      </c>
      <c r="I436" s="4">
        <v>56229</v>
      </c>
    </row>
    <row r="437" spans="1:9" ht="17" hidden="1" x14ac:dyDescent="0.2">
      <c r="A437" s="1">
        <v>8</v>
      </c>
      <c r="B437" s="2" t="s">
        <v>19</v>
      </c>
      <c r="C437" s="1" t="s">
        <v>117</v>
      </c>
      <c r="D437" s="1">
        <v>28</v>
      </c>
      <c r="E437" s="3">
        <v>119957765</v>
      </c>
      <c r="F437" s="3">
        <v>118482081</v>
      </c>
      <c r="G437" s="1" t="s">
        <v>1</v>
      </c>
      <c r="H437" s="4">
        <v>750000</v>
      </c>
      <c r="I437" s="1" t="s">
        <v>1</v>
      </c>
    </row>
    <row r="438" spans="1:9" ht="17" hidden="1" x14ac:dyDescent="0.2">
      <c r="A438" s="5">
        <v>7</v>
      </c>
      <c r="B438" s="6" t="s">
        <v>19</v>
      </c>
      <c r="C438" s="5" t="s">
        <v>117</v>
      </c>
      <c r="D438" s="5">
        <v>28.3</v>
      </c>
      <c r="E438" s="7">
        <v>118919465</v>
      </c>
      <c r="F438" s="7">
        <v>115410901</v>
      </c>
      <c r="G438" s="5" t="s">
        <v>1</v>
      </c>
      <c r="H438" s="8">
        <v>750000</v>
      </c>
      <c r="I438" s="8">
        <v>700000</v>
      </c>
    </row>
    <row r="439" spans="1:9" ht="17" hidden="1" x14ac:dyDescent="0.2">
      <c r="A439" s="1">
        <v>27</v>
      </c>
      <c r="B439" s="2" t="s">
        <v>27</v>
      </c>
      <c r="C439" s="1" t="s">
        <v>51</v>
      </c>
      <c r="D439" s="1">
        <v>28</v>
      </c>
      <c r="E439" s="3">
        <v>88629788</v>
      </c>
      <c r="F439" s="3">
        <v>41105049</v>
      </c>
      <c r="G439" s="4">
        <v>9755231</v>
      </c>
      <c r="H439" s="4">
        <v>1000000</v>
      </c>
      <c r="I439" s="4">
        <v>3533960</v>
      </c>
    </row>
    <row r="440" spans="1:9" ht="17" hidden="1" x14ac:dyDescent="0.2">
      <c r="A440" s="1">
        <v>27</v>
      </c>
      <c r="B440" s="2" t="s">
        <v>27</v>
      </c>
      <c r="C440" s="1" t="s">
        <v>45</v>
      </c>
      <c r="D440" s="1">
        <v>26.8</v>
      </c>
      <c r="E440" s="3">
        <v>89852001</v>
      </c>
      <c r="F440" s="3">
        <v>37672775</v>
      </c>
      <c r="G440" s="4">
        <v>13329261</v>
      </c>
      <c r="H440" s="4">
        <v>1100000</v>
      </c>
      <c r="I440" s="4">
        <v>1720253</v>
      </c>
    </row>
    <row r="441" spans="1:9" ht="17" hidden="1" x14ac:dyDescent="0.2">
      <c r="A441" s="1">
        <v>25</v>
      </c>
      <c r="B441" s="2" t="s">
        <v>27</v>
      </c>
      <c r="C441" s="1" t="s">
        <v>80</v>
      </c>
      <c r="D441" s="1">
        <v>27.5</v>
      </c>
      <c r="E441" s="3">
        <v>79354272</v>
      </c>
      <c r="F441" s="3">
        <v>52744710</v>
      </c>
      <c r="G441" s="4">
        <v>15788201</v>
      </c>
      <c r="H441" s="1" t="s">
        <v>1</v>
      </c>
      <c r="I441" s="4">
        <v>5410482</v>
      </c>
    </row>
    <row r="442" spans="1:9" ht="17" hidden="1" x14ac:dyDescent="0.2">
      <c r="A442" s="1">
        <v>25</v>
      </c>
      <c r="B442" s="2" t="s">
        <v>27</v>
      </c>
      <c r="C442" s="1" t="s">
        <v>60</v>
      </c>
      <c r="D442" s="1">
        <v>27.9</v>
      </c>
      <c r="E442" s="3">
        <v>98342073</v>
      </c>
      <c r="F442" s="3">
        <v>50869016</v>
      </c>
      <c r="G442" s="4">
        <v>33372433</v>
      </c>
      <c r="H442" s="4">
        <v>2500000</v>
      </c>
      <c r="I442" s="4">
        <v>2645598</v>
      </c>
    </row>
    <row r="443" spans="1:9" ht="17" hidden="1" x14ac:dyDescent="0.2">
      <c r="A443" s="1">
        <v>23</v>
      </c>
      <c r="B443" s="2" t="s">
        <v>27</v>
      </c>
      <c r="C443" s="1" t="s">
        <v>75</v>
      </c>
      <c r="D443" s="1">
        <v>28.1</v>
      </c>
      <c r="E443" s="3">
        <v>70836327</v>
      </c>
      <c r="F443" s="3">
        <v>44288651</v>
      </c>
      <c r="G443" s="4">
        <v>18352159</v>
      </c>
      <c r="H443" s="1" t="s">
        <v>1</v>
      </c>
      <c r="I443" s="4">
        <v>1977492</v>
      </c>
    </row>
    <row r="444" spans="1:9" ht="17" hidden="1" x14ac:dyDescent="0.2">
      <c r="A444" s="1">
        <v>26</v>
      </c>
      <c r="B444" s="2" t="s">
        <v>27</v>
      </c>
      <c r="C444" s="1" t="s">
        <v>109</v>
      </c>
      <c r="D444" s="1">
        <v>27.9</v>
      </c>
      <c r="E444" s="3">
        <v>28290689</v>
      </c>
      <c r="F444" s="3">
        <v>21769463</v>
      </c>
      <c r="G444" s="4">
        <v>1958020</v>
      </c>
      <c r="H444" s="1" t="s">
        <v>1</v>
      </c>
      <c r="I444" s="4">
        <v>2476255</v>
      </c>
    </row>
    <row r="445" spans="1:9" ht="17" hidden="1" x14ac:dyDescent="0.2">
      <c r="A445" s="1">
        <v>27</v>
      </c>
      <c r="B445" s="2" t="s">
        <v>27</v>
      </c>
      <c r="C445" s="1" t="s">
        <v>33</v>
      </c>
      <c r="D445" s="1">
        <v>27.3</v>
      </c>
      <c r="E445" s="3">
        <v>64178722</v>
      </c>
      <c r="F445" s="3">
        <v>54345374</v>
      </c>
      <c r="G445" s="4">
        <v>644520</v>
      </c>
      <c r="H445" s="1" t="s">
        <v>1</v>
      </c>
      <c r="I445" s="4">
        <v>104440</v>
      </c>
    </row>
    <row r="446" spans="1:9" ht="17" hidden="1" x14ac:dyDescent="0.2">
      <c r="A446" s="1">
        <v>30</v>
      </c>
      <c r="B446" s="10" t="s">
        <v>27</v>
      </c>
      <c r="C446" s="1" t="s">
        <v>117</v>
      </c>
      <c r="D446" s="1">
        <v>26.5</v>
      </c>
      <c r="E446" s="3">
        <v>68895137</v>
      </c>
      <c r="F446" s="3">
        <v>25668988</v>
      </c>
      <c r="G446" s="4">
        <v>2213706</v>
      </c>
      <c r="H446" s="4">
        <v>574597</v>
      </c>
      <c r="I446" s="4">
        <v>4983450</v>
      </c>
    </row>
    <row r="447" spans="1:9" ht="17" hidden="1" x14ac:dyDescent="0.2">
      <c r="A447" s="1">
        <v>24</v>
      </c>
      <c r="B447" s="2" t="s">
        <v>27</v>
      </c>
      <c r="C447" s="1" t="s">
        <v>117</v>
      </c>
      <c r="D447" s="1">
        <v>27.9</v>
      </c>
      <c r="E447" s="3">
        <v>77811205</v>
      </c>
      <c r="F447" s="3">
        <v>63918694</v>
      </c>
      <c r="G447" s="4">
        <v>6867218</v>
      </c>
      <c r="H447" s="4">
        <v>535000</v>
      </c>
      <c r="I447" s="4">
        <v>382917</v>
      </c>
    </row>
    <row r="448" spans="1:9" ht="17" hidden="1" x14ac:dyDescent="0.2">
      <c r="A448" s="1">
        <v>28</v>
      </c>
      <c r="B448" s="2" t="s">
        <v>27</v>
      </c>
      <c r="C448" s="1" t="s">
        <v>117</v>
      </c>
      <c r="D448" s="1">
        <v>27.4</v>
      </c>
      <c r="E448" s="3">
        <v>63908549</v>
      </c>
      <c r="F448" s="3">
        <v>36226000</v>
      </c>
      <c r="G448" s="4">
        <v>5226100</v>
      </c>
      <c r="H448" s="4">
        <v>12756854</v>
      </c>
      <c r="I448" s="4">
        <v>2279101</v>
      </c>
    </row>
    <row r="449" spans="1:9" ht="17" hidden="1" x14ac:dyDescent="0.2">
      <c r="A449" s="1">
        <v>26</v>
      </c>
      <c r="B449" s="2" t="s">
        <v>27</v>
      </c>
      <c r="C449" s="1" t="s">
        <v>117</v>
      </c>
      <c r="D449" s="1">
        <v>27.1</v>
      </c>
      <c r="E449" s="3">
        <v>73241552</v>
      </c>
      <c r="F449" s="3">
        <v>52092948</v>
      </c>
      <c r="G449" s="4">
        <v>8440963</v>
      </c>
      <c r="H449" s="4">
        <v>12164597</v>
      </c>
      <c r="I449" s="4">
        <v>543044</v>
      </c>
    </row>
    <row r="450" spans="1:9" ht="17" hidden="1" x14ac:dyDescent="0.2">
      <c r="A450" s="1">
        <v>21</v>
      </c>
      <c r="B450" s="2" t="s">
        <v>27</v>
      </c>
      <c r="C450" s="1" t="s">
        <v>117</v>
      </c>
      <c r="D450" s="1">
        <v>28.2</v>
      </c>
      <c r="E450" s="3">
        <v>83321046</v>
      </c>
      <c r="F450" s="3">
        <v>70204707</v>
      </c>
      <c r="G450" s="1" t="s">
        <v>1</v>
      </c>
      <c r="H450" s="4">
        <v>13116339</v>
      </c>
      <c r="I450" s="1" t="s">
        <v>1</v>
      </c>
    </row>
    <row r="451" spans="1:9" ht="17" hidden="1" x14ac:dyDescent="0.2">
      <c r="A451" s="1">
        <v>22</v>
      </c>
      <c r="B451" s="2" t="s">
        <v>27</v>
      </c>
      <c r="C451" s="1" t="s">
        <v>117</v>
      </c>
      <c r="D451" s="1">
        <v>29.1</v>
      </c>
      <c r="E451" s="3">
        <v>72600703</v>
      </c>
      <c r="F451" s="3">
        <v>70029393</v>
      </c>
      <c r="G451" s="4">
        <v>270436</v>
      </c>
      <c r="H451" s="4">
        <v>2250000</v>
      </c>
      <c r="I451" s="4">
        <v>50874</v>
      </c>
    </row>
    <row r="452" spans="1:9" ht="17" hidden="1" x14ac:dyDescent="0.2">
      <c r="A452" s="1">
        <v>25</v>
      </c>
      <c r="B452" s="2" t="s">
        <v>27</v>
      </c>
      <c r="C452" s="1" t="s">
        <v>117</v>
      </c>
      <c r="D452" s="1">
        <v>28.6</v>
      </c>
      <c r="E452" s="3">
        <v>68144135</v>
      </c>
      <c r="F452" s="3">
        <v>67844135</v>
      </c>
      <c r="G452" s="1" t="s">
        <v>1</v>
      </c>
      <c r="H452" s="4">
        <v>300000</v>
      </c>
      <c r="I452" s="1" t="s">
        <v>1</v>
      </c>
    </row>
    <row r="453" spans="1:9" ht="17" hidden="1" x14ac:dyDescent="0.2">
      <c r="A453" s="1">
        <v>28</v>
      </c>
      <c r="B453" s="10" t="s">
        <v>27</v>
      </c>
      <c r="C453" s="1" t="s">
        <v>117</v>
      </c>
      <c r="D453" s="1">
        <v>27.7</v>
      </c>
      <c r="E453" s="3">
        <v>45386925</v>
      </c>
      <c r="F453" s="3">
        <v>45386925</v>
      </c>
      <c r="G453" s="1" t="s">
        <v>1</v>
      </c>
      <c r="H453" s="1" t="s">
        <v>1</v>
      </c>
      <c r="I453" s="1" t="s">
        <v>1</v>
      </c>
    </row>
    <row r="454" spans="1:9" ht="17" hidden="1" x14ac:dyDescent="0.2">
      <c r="A454" s="1">
        <v>13</v>
      </c>
      <c r="B454" s="2" t="s">
        <v>10</v>
      </c>
      <c r="C454" s="1" t="s">
        <v>38</v>
      </c>
      <c r="D454" s="1">
        <v>30.3</v>
      </c>
      <c r="E454" s="3">
        <v>226526491</v>
      </c>
      <c r="F454" s="3">
        <v>113977024</v>
      </c>
      <c r="G454" s="4">
        <v>103593859</v>
      </c>
      <c r="H454" s="1" t="s">
        <v>1</v>
      </c>
      <c r="I454" s="4">
        <v>2174353</v>
      </c>
    </row>
    <row r="455" spans="1:9" ht="17" hidden="1" x14ac:dyDescent="0.2">
      <c r="A455" s="1">
        <v>8</v>
      </c>
      <c r="B455" s="2" t="s">
        <v>10</v>
      </c>
      <c r="C455" s="1" t="s">
        <v>42</v>
      </c>
      <c r="D455" s="1">
        <v>29.5</v>
      </c>
      <c r="E455" s="3">
        <v>227545408</v>
      </c>
      <c r="F455" s="3">
        <v>145959070</v>
      </c>
      <c r="G455" s="4">
        <v>70265121</v>
      </c>
      <c r="H455" s="4">
        <v>2000000</v>
      </c>
      <c r="I455" s="4">
        <v>798138</v>
      </c>
    </row>
    <row r="456" spans="1:9" ht="17" hidden="1" x14ac:dyDescent="0.2">
      <c r="A456" s="1">
        <v>7</v>
      </c>
      <c r="B456" s="2" t="s">
        <v>10</v>
      </c>
      <c r="C456" s="1" t="s">
        <v>36</v>
      </c>
      <c r="D456" s="1">
        <v>29.2</v>
      </c>
      <c r="E456" s="3">
        <v>251332754</v>
      </c>
      <c r="F456" s="3">
        <v>148828188</v>
      </c>
      <c r="G456" s="4">
        <v>96208979</v>
      </c>
      <c r="H456" s="1" t="s">
        <v>1</v>
      </c>
      <c r="I456" s="4">
        <v>1301706</v>
      </c>
    </row>
    <row r="457" spans="1:9" ht="17" hidden="1" x14ac:dyDescent="0.2">
      <c r="A457" s="1">
        <v>14</v>
      </c>
      <c r="B457" s="2" t="s">
        <v>10</v>
      </c>
      <c r="C457" s="1" t="s">
        <v>86</v>
      </c>
      <c r="D457" s="1">
        <v>27.2</v>
      </c>
      <c r="E457" s="3">
        <v>150035993</v>
      </c>
      <c r="F457" s="3">
        <v>100539086</v>
      </c>
      <c r="G457" s="4">
        <v>13330822</v>
      </c>
      <c r="H457" s="4">
        <v>1000000</v>
      </c>
      <c r="I457" s="4">
        <v>6141756</v>
      </c>
    </row>
    <row r="458" spans="1:9" ht="17" hidden="1" x14ac:dyDescent="0.2">
      <c r="A458" s="1">
        <v>27</v>
      </c>
      <c r="B458" s="2" t="s">
        <v>10</v>
      </c>
      <c r="C458" s="1" t="s">
        <v>54</v>
      </c>
      <c r="D458" s="1">
        <v>27</v>
      </c>
      <c r="E458" s="3">
        <v>95791911</v>
      </c>
      <c r="F458" s="3">
        <v>24846124</v>
      </c>
      <c r="G458" s="4">
        <v>7899375</v>
      </c>
      <c r="H458" s="1" t="s">
        <v>1</v>
      </c>
      <c r="I458" s="4">
        <v>4129712</v>
      </c>
    </row>
    <row r="459" spans="1:9" ht="17" hidden="1" x14ac:dyDescent="0.2">
      <c r="A459" s="1">
        <v>20</v>
      </c>
      <c r="B459" s="2" t="s">
        <v>10</v>
      </c>
      <c r="C459" s="1" t="s">
        <v>106</v>
      </c>
      <c r="D459" s="1">
        <v>27.1</v>
      </c>
      <c r="E459" s="3">
        <v>64215248</v>
      </c>
      <c r="F459" s="3">
        <v>30879036</v>
      </c>
      <c r="G459" s="4">
        <v>16905177</v>
      </c>
      <c r="H459" s="4">
        <v>1057222</v>
      </c>
      <c r="I459" s="4">
        <v>843955</v>
      </c>
    </row>
    <row r="460" spans="1:9" ht="17" hidden="1" x14ac:dyDescent="0.2">
      <c r="A460" s="1">
        <v>15</v>
      </c>
      <c r="B460" s="2" t="s">
        <v>10</v>
      </c>
      <c r="C460" s="1" t="s">
        <v>42</v>
      </c>
      <c r="D460" s="1">
        <v>26.9</v>
      </c>
      <c r="E460" s="3">
        <v>148538766</v>
      </c>
      <c r="F460" s="3">
        <v>85904339</v>
      </c>
      <c r="G460" s="4">
        <v>26592526</v>
      </c>
      <c r="H460" s="4">
        <v>4341935</v>
      </c>
      <c r="I460" s="4">
        <v>4789500</v>
      </c>
    </row>
    <row r="461" spans="1:9" ht="17" hidden="1" x14ac:dyDescent="0.2">
      <c r="A461" s="1">
        <v>14</v>
      </c>
      <c r="B461" s="2" t="s">
        <v>10</v>
      </c>
      <c r="C461" s="1" t="s">
        <v>117</v>
      </c>
      <c r="D461" s="1">
        <v>27.5</v>
      </c>
      <c r="E461" s="3">
        <v>140625018</v>
      </c>
      <c r="F461" s="3">
        <v>96239016</v>
      </c>
      <c r="G461" s="4">
        <v>6683451</v>
      </c>
      <c r="H461" s="4">
        <v>2750000</v>
      </c>
      <c r="I461" s="4">
        <v>766300</v>
      </c>
    </row>
    <row r="462" spans="1:9" ht="17" hidden="1" x14ac:dyDescent="0.2">
      <c r="A462" s="1">
        <v>10</v>
      </c>
      <c r="B462" s="2" t="s">
        <v>10</v>
      </c>
      <c r="C462" s="1" t="s">
        <v>117</v>
      </c>
      <c r="D462" s="1">
        <v>28.3</v>
      </c>
      <c r="E462" s="3">
        <v>163450840</v>
      </c>
      <c r="F462" s="3">
        <v>126415185</v>
      </c>
      <c r="G462" s="4">
        <v>1074360</v>
      </c>
      <c r="H462" s="4">
        <v>3500000</v>
      </c>
      <c r="I462" s="4">
        <v>2104299</v>
      </c>
    </row>
    <row r="463" spans="1:9" ht="17" hidden="1" x14ac:dyDescent="0.2">
      <c r="A463" s="1">
        <v>8</v>
      </c>
      <c r="B463" s="2" t="s">
        <v>10</v>
      </c>
      <c r="C463" s="1" t="s">
        <v>117</v>
      </c>
      <c r="D463" s="1">
        <v>27.6</v>
      </c>
      <c r="E463" s="3">
        <v>161021690</v>
      </c>
      <c r="F463" s="3">
        <v>134724626</v>
      </c>
      <c r="G463" s="4">
        <v>21458018</v>
      </c>
      <c r="H463" s="4">
        <v>3933180</v>
      </c>
      <c r="I463" s="4">
        <v>186122</v>
      </c>
    </row>
    <row r="464" spans="1:9" ht="17" hidden="1" x14ac:dyDescent="0.2">
      <c r="A464" s="1">
        <v>6</v>
      </c>
      <c r="B464" s="2" t="s">
        <v>10</v>
      </c>
      <c r="C464" s="1" t="s">
        <v>117</v>
      </c>
      <c r="D464" s="1">
        <v>28.1</v>
      </c>
      <c r="E464" s="3">
        <v>149234268</v>
      </c>
      <c r="F464" s="3">
        <v>126425876</v>
      </c>
      <c r="G464" s="4">
        <v>13135760</v>
      </c>
      <c r="H464" s="4">
        <v>9118970</v>
      </c>
      <c r="I464" s="4">
        <v>553662</v>
      </c>
    </row>
    <row r="465" spans="1:9" ht="17" hidden="1" x14ac:dyDescent="0.2">
      <c r="A465" s="1">
        <v>8</v>
      </c>
      <c r="B465" s="2" t="s">
        <v>10</v>
      </c>
      <c r="C465" s="1" t="s">
        <v>117</v>
      </c>
      <c r="D465" s="1">
        <v>26.9</v>
      </c>
      <c r="E465" s="3">
        <v>138770064</v>
      </c>
      <c r="F465" s="3">
        <v>130811403</v>
      </c>
      <c r="G465" s="1" t="s">
        <v>1</v>
      </c>
      <c r="H465" s="4">
        <v>642758</v>
      </c>
      <c r="I465" s="1" t="s">
        <v>1</v>
      </c>
    </row>
    <row r="466" spans="1:9" ht="17" hidden="1" x14ac:dyDescent="0.2">
      <c r="A466" s="1">
        <v>7</v>
      </c>
      <c r="B466" s="2" t="s">
        <v>10</v>
      </c>
      <c r="C466" s="1" t="s">
        <v>117</v>
      </c>
      <c r="D466" s="1">
        <v>28.5</v>
      </c>
      <c r="E466" s="3">
        <v>137937146</v>
      </c>
      <c r="F466" s="3">
        <v>124162497</v>
      </c>
      <c r="G466" s="4">
        <v>465901</v>
      </c>
      <c r="H466" s="4">
        <v>12600000</v>
      </c>
      <c r="I466" s="4">
        <v>204748</v>
      </c>
    </row>
    <row r="467" spans="1:9" ht="17" hidden="1" x14ac:dyDescent="0.2">
      <c r="A467" s="1">
        <v>6</v>
      </c>
      <c r="B467" s="2" t="s">
        <v>10</v>
      </c>
      <c r="C467" s="1" t="s">
        <v>117</v>
      </c>
      <c r="D467" s="1">
        <v>27.4</v>
      </c>
      <c r="E467" s="3">
        <v>138312903</v>
      </c>
      <c r="F467" s="3">
        <v>135062903</v>
      </c>
      <c r="G467" s="1" t="s">
        <v>1</v>
      </c>
      <c r="H467" s="4">
        <v>3250000</v>
      </c>
      <c r="I467" s="1" t="s">
        <v>1</v>
      </c>
    </row>
    <row r="468" spans="1:9" ht="17" hidden="1" x14ac:dyDescent="0.2">
      <c r="A468" s="5">
        <v>11</v>
      </c>
      <c r="B468" s="6" t="s">
        <v>10</v>
      </c>
      <c r="C468" s="5" t="s">
        <v>117</v>
      </c>
      <c r="D468" s="5">
        <v>27.7</v>
      </c>
      <c r="E468" s="7">
        <v>103326721</v>
      </c>
      <c r="F468" s="7">
        <v>98857920</v>
      </c>
      <c r="G468" s="5" t="s">
        <v>1</v>
      </c>
      <c r="H468" s="8">
        <v>3900000</v>
      </c>
      <c r="I468" s="5" t="s">
        <v>1</v>
      </c>
    </row>
    <row r="469" spans="1:9" ht="17" hidden="1" x14ac:dyDescent="0.2">
      <c r="A469" s="1">
        <v>7</v>
      </c>
      <c r="B469" s="2" t="s">
        <v>4</v>
      </c>
      <c r="C469" s="1" t="s">
        <v>34</v>
      </c>
      <c r="D469" s="1">
        <v>28.9</v>
      </c>
      <c r="E469" s="3">
        <v>255230406</v>
      </c>
      <c r="F469" s="3">
        <v>160405569</v>
      </c>
      <c r="G469" s="4">
        <v>70568356</v>
      </c>
      <c r="H469" s="1" t="s">
        <v>1</v>
      </c>
      <c r="I469" s="4">
        <v>2057492</v>
      </c>
    </row>
    <row r="470" spans="1:9" ht="17" hidden="1" x14ac:dyDescent="0.2">
      <c r="A470" s="1">
        <v>11</v>
      </c>
      <c r="B470" s="2" t="s">
        <v>4</v>
      </c>
      <c r="C470" s="1" t="s">
        <v>58</v>
      </c>
      <c r="D470" s="1">
        <v>27.9</v>
      </c>
      <c r="E470" s="3">
        <v>219180044</v>
      </c>
      <c r="F470" s="3">
        <v>132507918</v>
      </c>
      <c r="G470" s="4">
        <v>26456777</v>
      </c>
      <c r="H470" s="4">
        <v>6090000</v>
      </c>
      <c r="I470" s="4">
        <v>5599986</v>
      </c>
    </row>
    <row r="471" spans="1:9" ht="17" hidden="1" x14ac:dyDescent="0.2">
      <c r="A471" s="1">
        <v>3</v>
      </c>
      <c r="B471" s="2" t="s">
        <v>4</v>
      </c>
      <c r="C471" s="1" t="s">
        <v>39</v>
      </c>
      <c r="D471" s="1">
        <v>29.6</v>
      </c>
      <c r="E471" s="3">
        <v>214916600</v>
      </c>
      <c r="F471" s="3">
        <v>194486569</v>
      </c>
      <c r="G471" s="4">
        <v>6851292</v>
      </c>
      <c r="H471" s="1" t="s">
        <v>1</v>
      </c>
      <c r="I471" s="4">
        <v>3802638</v>
      </c>
    </row>
    <row r="472" spans="1:9" ht="17" hidden="1" x14ac:dyDescent="0.2">
      <c r="A472" s="1">
        <v>9</v>
      </c>
      <c r="B472" s="2" t="s">
        <v>4</v>
      </c>
      <c r="C472" s="1" t="s">
        <v>35</v>
      </c>
      <c r="D472" s="1">
        <v>28.5</v>
      </c>
      <c r="E472" s="3">
        <v>177287681</v>
      </c>
      <c r="F472" s="3">
        <v>141948515</v>
      </c>
      <c r="G472" s="4">
        <v>25698159</v>
      </c>
      <c r="H472" s="1" t="s">
        <v>1</v>
      </c>
      <c r="I472" s="4">
        <v>1685299</v>
      </c>
    </row>
    <row r="473" spans="1:9" ht="17" hidden="1" x14ac:dyDescent="0.2">
      <c r="A473" s="1">
        <v>12</v>
      </c>
      <c r="B473" s="2" t="s">
        <v>4</v>
      </c>
      <c r="C473" s="1" t="s">
        <v>63</v>
      </c>
      <c r="D473" s="1">
        <v>28.2</v>
      </c>
      <c r="E473" s="3">
        <v>150140253</v>
      </c>
      <c r="F473" s="3">
        <v>109902749</v>
      </c>
      <c r="G473" s="4">
        <v>8853529</v>
      </c>
      <c r="H473" s="1" t="s">
        <v>1</v>
      </c>
      <c r="I473" s="4">
        <v>3068854</v>
      </c>
    </row>
    <row r="474" spans="1:9" ht="17" hidden="1" x14ac:dyDescent="0.2">
      <c r="A474" s="1">
        <v>19</v>
      </c>
      <c r="B474" s="2" t="s">
        <v>4</v>
      </c>
      <c r="C474" s="1" t="s">
        <v>105</v>
      </c>
      <c r="D474" s="1">
        <v>27.6</v>
      </c>
      <c r="E474" s="3">
        <v>55000175</v>
      </c>
      <c r="F474" s="3">
        <v>33470167</v>
      </c>
      <c r="G474" s="4">
        <v>5114444</v>
      </c>
      <c r="H474" s="4">
        <v>500000</v>
      </c>
      <c r="I474" s="4">
        <v>1538164</v>
      </c>
    </row>
    <row r="475" spans="1:9" ht="17" hidden="1" x14ac:dyDescent="0.2">
      <c r="A475" s="1">
        <v>29</v>
      </c>
      <c r="B475" s="2" t="s">
        <v>4</v>
      </c>
      <c r="C475" s="1" t="s">
        <v>92</v>
      </c>
      <c r="D475" s="1">
        <v>25.9</v>
      </c>
      <c r="E475" s="3">
        <v>111371067</v>
      </c>
      <c r="F475" s="3">
        <v>36637976</v>
      </c>
      <c r="G475" s="4">
        <v>8512071</v>
      </c>
      <c r="H475" s="4">
        <v>2250000</v>
      </c>
      <c r="I475" s="4">
        <v>869858</v>
      </c>
    </row>
    <row r="476" spans="1:9" ht="17" hidden="1" x14ac:dyDescent="0.2">
      <c r="A476" s="1">
        <v>20</v>
      </c>
      <c r="B476" s="2" t="s">
        <v>4</v>
      </c>
      <c r="C476" s="1" t="s">
        <v>117</v>
      </c>
      <c r="D476" s="1">
        <v>26.8</v>
      </c>
      <c r="E476" s="3">
        <v>150946147</v>
      </c>
      <c r="F476" s="3">
        <v>81293347</v>
      </c>
      <c r="G476" s="4">
        <v>20481474</v>
      </c>
      <c r="H476" s="4">
        <v>500000</v>
      </c>
      <c r="I476" s="4">
        <v>430710</v>
      </c>
    </row>
    <row r="477" spans="1:9" ht="17" hidden="1" x14ac:dyDescent="0.2">
      <c r="A477" s="1">
        <v>9</v>
      </c>
      <c r="B477" s="2" t="s">
        <v>4</v>
      </c>
      <c r="C477" s="1" t="s">
        <v>117</v>
      </c>
      <c r="D477" s="1">
        <v>28.9</v>
      </c>
      <c r="E477" s="3">
        <v>175617487</v>
      </c>
      <c r="F477" s="3">
        <v>127315534</v>
      </c>
      <c r="G477" s="4">
        <v>22811106</v>
      </c>
      <c r="H477" s="1" t="s">
        <v>1</v>
      </c>
      <c r="I477" s="4">
        <v>3576045</v>
      </c>
    </row>
    <row r="478" spans="1:9" ht="17" hidden="1" x14ac:dyDescent="0.2">
      <c r="A478" s="1">
        <v>9</v>
      </c>
      <c r="B478" s="2" t="s">
        <v>4</v>
      </c>
      <c r="C478" s="1" t="s">
        <v>117</v>
      </c>
      <c r="D478" s="1">
        <v>29.7</v>
      </c>
      <c r="E478" s="3">
        <v>148385479</v>
      </c>
      <c r="F478" s="3">
        <v>134332539</v>
      </c>
      <c r="G478" s="4">
        <v>1000000</v>
      </c>
      <c r="H478" s="4">
        <v>4605327</v>
      </c>
      <c r="I478" s="4">
        <v>565489</v>
      </c>
    </row>
    <row r="479" spans="1:9" ht="17" hidden="1" x14ac:dyDescent="0.2">
      <c r="A479" s="1">
        <v>12</v>
      </c>
      <c r="B479" s="2" t="s">
        <v>4</v>
      </c>
      <c r="C479" s="1" t="s">
        <v>117</v>
      </c>
      <c r="D479" s="1">
        <v>29.4</v>
      </c>
      <c r="E479" s="3">
        <v>138309664</v>
      </c>
      <c r="F479" s="3">
        <v>106426104</v>
      </c>
      <c r="G479" s="4">
        <v>6382500</v>
      </c>
      <c r="H479" s="4">
        <v>25214964</v>
      </c>
      <c r="I479" s="4">
        <v>286096</v>
      </c>
    </row>
    <row r="480" spans="1:9" ht="17" hidden="1" x14ac:dyDescent="0.2">
      <c r="A480" s="1">
        <v>9</v>
      </c>
      <c r="B480" s="2" t="s">
        <v>4</v>
      </c>
      <c r="C480" s="1" t="s">
        <v>117</v>
      </c>
      <c r="D480" s="1">
        <v>28</v>
      </c>
      <c r="E480" s="3">
        <v>141812172</v>
      </c>
      <c r="F480" s="3">
        <v>122125961</v>
      </c>
      <c r="G480" s="4">
        <v>3000000</v>
      </c>
      <c r="H480" s="4">
        <v>3484357</v>
      </c>
      <c r="I480" s="4">
        <v>11500000</v>
      </c>
    </row>
    <row r="481" spans="1:9" ht="17" hidden="1" x14ac:dyDescent="0.2">
      <c r="A481" s="1">
        <v>8</v>
      </c>
      <c r="B481" s="2" t="s">
        <v>4</v>
      </c>
      <c r="C481" s="1" t="s">
        <v>117</v>
      </c>
      <c r="D481" s="1">
        <v>29.3</v>
      </c>
      <c r="E481" s="3">
        <v>131752425</v>
      </c>
      <c r="F481" s="3">
        <v>118289792</v>
      </c>
      <c r="G481" s="1" t="s">
        <v>1</v>
      </c>
      <c r="H481" s="4">
        <v>3687500</v>
      </c>
      <c r="I481" s="4">
        <v>7849068</v>
      </c>
    </row>
    <row r="482" spans="1:9" ht="17" hidden="1" x14ac:dyDescent="0.2">
      <c r="A482" s="1">
        <v>15</v>
      </c>
      <c r="B482" s="2" t="s">
        <v>4</v>
      </c>
      <c r="C482" s="1" t="s">
        <v>117</v>
      </c>
      <c r="D482" s="1">
        <v>28.2</v>
      </c>
      <c r="E482" s="3">
        <v>95551627</v>
      </c>
      <c r="F482" s="3">
        <v>89817658</v>
      </c>
      <c r="G482" s="1" t="s">
        <v>1</v>
      </c>
      <c r="H482" s="4">
        <v>3437500</v>
      </c>
      <c r="I482" s="4">
        <v>650000</v>
      </c>
    </row>
    <row r="483" spans="1:9" ht="17" hidden="1" x14ac:dyDescent="0.2">
      <c r="A483" s="1">
        <v>25</v>
      </c>
      <c r="B483" s="2" t="s">
        <v>4</v>
      </c>
      <c r="C483" s="1" t="s">
        <v>117</v>
      </c>
      <c r="D483" s="1">
        <v>26.2</v>
      </c>
      <c r="E483" s="3">
        <v>73491604</v>
      </c>
      <c r="F483" s="3">
        <v>56304461</v>
      </c>
      <c r="G483" s="1" t="s">
        <v>1</v>
      </c>
      <c r="H483" s="4">
        <v>9437500</v>
      </c>
      <c r="I483" s="1" t="s">
        <v>1</v>
      </c>
    </row>
    <row r="484" spans="1:9" ht="17" hidden="1" x14ac:dyDescent="0.2">
      <c r="A484" s="1">
        <v>29</v>
      </c>
      <c r="B484" s="2" t="s">
        <v>30</v>
      </c>
      <c r="C484" s="1" t="s">
        <v>53</v>
      </c>
      <c r="D484" s="1">
        <v>26.1</v>
      </c>
      <c r="E484" s="3">
        <v>109465924</v>
      </c>
      <c r="F484" s="3">
        <v>25303478</v>
      </c>
      <c r="G484" s="4">
        <v>21807496</v>
      </c>
      <c r="H484" s="1" t="s">
        <v>1</v>
      </c>
      <c r="I484" s="4">
        <v>1700889</v>
      </c>
    </row>
    <row r="485" spans="1:9" ht="17" hidden="1" x14ac:dyDescent="0.2">
      <c r="A485" s="1">
        <v>22</v>
      </c>
      <c r="B485" s="2" t="s">
        <v>30</v>
      </c>
      <c r="C485" s="1" t="s">
        <v>48</v>
      </c>
      <c r="D485" s="1">
        <v>26.9</v>
      </c>
      <c r="E485" s="3">
        <v>107128130</v>
      </c>
      <c r="F485" s="3">
        <v>60980492</v>
      </c>
      <c r="G485" s="4">
        <v>26347303</v>
      </c>
      <c r="H485" s="4">
        <v>4197634</v>
      </c>
      <c r="I485" s="4">
        <v>2898395</v>
      </c>
    </row>
    <row r="486" spans="1:9" ht="17" hidden="1" x14ac:dyDescent="0.2">
      <c r="A486" s="1">
        <v>26</v>
      </c>
      <c r="B486" s="2" t="s">
        <v>30</v>
      </c>
      <c r="C486" s="1" t="s">
        <v>48</v>
      </c>
      <c r="D486" s="1">
        <v>26.9</v>
      </c>
      <c r="E486" s="3">
        <v>93383875</v>
      </c>
      <c r="F486" s="3">
        <v>49953549</v>
      </c>
      <c r="G486" s="4">
        <v>32649575</v>
      </c>
      <c r="H486" s="1" t="s">
        <v>1</v>
      </c>
      <c r="I486" s="4">
        <v>2646435</v>
      </c>
    </row>
    <row r="487" spans="1:9" ht="17" hidden="1" x14ac:dyDescent="0.2">
      <c r="A487" s="1">
        <v>21</v>
      </c>
      <c r="B487" s="2" t="s">
        <v>30</v>
      </c>
      <c r="C487" s="1" t="s">
        <v>88</v>
      </c>
      <c r="D487" s="1">
        <v>28.8</v>
      </c>
      <c r="E487" s="3">
        <v>126782278</v>
      </c>
      <c r="F487" s="3">
        <v>58961629</v>
      </c>
      <c r="G487" s="4">
        <v>40678930</v>
      </c>
      <c r="H487" s="4">
        <v>3000000</v>
      </c>
      <c r="I487" s="4">
        <v>1511795</v>
      </c>
    </row>
    <row r="488" spans="1:9" ht="17" hidden="1" x14ac:dyDescent="0.2">
      <c r="A488" s="1">
        <v>22</v>
      </c>
      <c r="B488" s="2" t="s">
        <v>30</v>
      </c>
      <c r="C488" s="1" t="s">
        <v>87</v>
      </c>
      <c r="D488" s="1">
        <v>28.4</v>
      </c>
      <c r="E488" s="3">
        <v>144023139</v>
      </c>
      <c r="F488" s="3">
        <v>49731446</v>
      </c>
      <c r="G488" s="4">
        <v>34829773</v>
      </c>
      <c r="H488" s="1" t="s">
        <v>1</v>
      </c>
      <c r="I488" s="4">
        <v>2400588</v>
      </c>
    </row>
    <row r="489" spans="1:9" ht="17" hidden="1" x14ac:dyDescent="0.2">
      <c r="A489" s="1">
        <v>13</v>
      </c>
      <c r="B489" s="2" t="s">
        <v>30</v>
      </c>
      <c r="C489" s="1" t="s">
        <v>98</v>
      </c>
      <c r="D489" s="1">
        <v>29.5</v>
      </c>
      <c r="E489" s="3">
        <v>75067703</v>
      </c>
      <c r="F489" s="3">
        <v>45664863</v>
      </c>
      <c r="G489" s="4">
        <v>20500582</v>
      </c>
      <c r="H489" s="4">
        <v>6750000</v>
      </c>
      <c r="I489" s="4">
        <v>468865</v>
      </c>
    </row>
    <row r="490" spans="1:9" ht="17" hidden="1" x14ac:dyDescent="0.2">
      <c r="A490" s="1">
        <v>5</v>
      </c>
      <c r="B490" s="2" t="s">
        <v>30</v>
      </c>
      <c r="C490" s="1" t="s">
        <v>31</v>
      </c>
      <c r="D490" s="1">
        <v>29.4</v>
      </c>
      <c r="E490" s="3">
        <v>172321791</v>
      </c>
      <c r="F490" s="3">
        <v>155857858</v>
      </c>
      <c r="G490" s="4">
        <v>1369684</v>
      </c>
      <c r="H490" s="4">
        <v>4000000</v>
      </c>
      <c r="I490" s="4">
        <v>1031624</v>
      </c>
    </row>
    <row r="491" spans="1:9" ht="17" hidden="1" x14ac:dyDescent="0.2">
      <c r="A491" s="1">
        <v>8</v>
      </c>
      <c r="B491" s="2" t="s">
        <v>30</v>
      </c>
      <c r="C491" s="1" t="s">
        <v>117</v>
      </c>
      <c r="D491" s="1">
        <v>27.6</v>
      </c>
      <c r="E491" s="3">
        <v>181382609</v>
      </c>
      <c r="F491" s="3">
        <v>130197979</v>
      </c>
      <c r="G491" s="4">
        <v>8999485</v>
      </c>
      <c r="H491" s="4">
        <v>500000</v>
      </c>
      <c r="I491" s="4">
        <v>1023425</v>
      </c>
    </row>
    <row r="492" spans="1:9" ht="17" hidden="1" x14ac:dyDescent="0.2">
      <c r="A492" s="1">
        <v>5</v>
      </c>
      <c r="B492" s="2" t="s">
        <v>30</v>
      </c>
      <c r="C492" s="1" t="s">
        <v>117</v>
      </c>
      <c r="D492" s="1">
        <v>29.1</v>
      </c>
      <c r="E492" s="3">
        <v>182238854</v>
      </c>
      <c r="F492" s="3">
        <v>164539852</v>
      </c>
      <c r="G492" s="4">
        <v>11351707</v>
      </c>
      <c r="H492" s="4">
        <v>3500000</v>
      </c>
      <c r="I492" s="4">
        <v>394605</v>
      </c>
    </row>
    <row r="493" spans="1:9" ht="17" hidden="1" x14ac:dyDescent="0.2">
      <c r="A493" s="1">
        <v>12</v>
      </c>
      <c r="B493" s="2" t="s">
        <v>30</v>
      </c>
      <c r="C493" s="1" t="s">
        <v>117</v>
      </c>
      <c r="D493" s="1">
        <v>28.5</v>
      </c>
      <c r="E493" s="3">
        <v>139583852</v>
      </c>
      <c r="F493" s="3">
        <v>119416458</v>
      </c>
      <c r="G493" s="4">
        <v>5869400</v>
      </c>
      <c r="H493" s="4">
        <v>10250000</v>
      </c>
      <c r="I493" s="4">
        <v>90208</v>
      </c>
    </row>
    <row r="494" spans="1:9" ht="17" hidden="1" x14ac:dyDescent="0.2">
      <c r="A494" s="1">
        <v>3</v>
      </c>
      <c r="B494" s="2" t="s">
        <v>30</v>
      </c>
      <c r="C494" s="1" t="s">
        <v>117</v>
      </c>
      <c r="D494" s="1">
        <v>28</v>
      </c>
      <c r="E494" s="3">
        <v>165655095</v>
      </c>
      <c r="F494" s="3">
        <v>146009803</v>
      </c>
      <c r="G494" s="4">
        <v>17556549</v>
      </c>
      <c r="H494" s="4">
        <v>2000000</v>
      </c>
      <c r="I494" s="4">
        <v>88743</v>
      </c>
    </row>
    <row r="495" spans="1:9" ht="17" hidden="1" x14ac:dyDescent="0.2">
      <c r="A495" s="1">
        <v>6</v>
      </c>
      <c r="B495" s="2" t="s">
        <v>30</v>
      </c>
      <c r="C495" s="1" t="s">
        <v>117</v>
      </c>
      <c r="D495" s="1">
        <v>28.3</v>
      </c>
      <c r="E495" s="3">
        <v>143278577</v>
      </c>
      <c r="F495" s="3">
        <v>142964370</v>
      </c>
      <c r="G495" s="1" t="s">
        <v>1</v>
      </c>
      <c r="H495" s="1" t="s">
        <v>1</v>
      </c>
      <c r="I495" s="4">
        <v>177595</v>
      </c>
    </row>
    <row r="496" spans="1:9" ht="17" hidden="1" x14ac:dyDescent="0.2">
      <c r="A496" s="1">
        <v>11</v>
      </c>
      <c r="B496" s="2" t="s">
        <v>30</v>
      </c>
      <c r="C496" s="1" t="s">
        <v>117</v>
      </c>
      <c r="D496" s="1">
        <v>26.9</v>
      </c>
      <c r="E496" s="3">
        <v>116584094</v>
      </c>
      <c r="F496" s="3">
        <v>107973970</v>
      </c>
      <c r="G496" s="4">
        <v>491000</v>
      </c>
      <c r="H496" s="4">
        <v>950000</v>
      </c>
      <c r="I496" s="4">
        <v>2093714</v>
      </c>
    </row>
    <row r="497" spans="1:9" ht="17" hidden="1" x14ac:dyDescent="0.2">
      <c r="A497" s="1">
        <v>14</v>
      </c>
      <c r="B497" s="2" t="s">
        <v>30</v>
      </c>
      <c r="C497" s="1" t="s">
        <v>117</v>
      </c>
      <c r="D497" s="1">
        <v>27.2</v>
      </c>
      <c r="E497" s="3">
        <v>96169359</v>
      </c>
      <c r="F497" s="3">
        <v>93748594</v>
      </c>
      <c r="G497" s="1" t="s">
        <v>1</v>
      </c>
      <c r="H497" s="1" t="s">
        <v>1</v>
      </c>
      <c r="I497" s="4">
        <v>2000000</v>
      </c>
    </row>
    <row r="498" spans="1:9" ht="17" hidden="1" x14ac:dyDescent="0.2">
      <c r="A498" s="1">
        <v>21</v>
      </c>
      <c r="B498" s="2" t="s">
        <v>30</v>
      </c>
      <c r="C498" s="1" t="s">
        <v>117</v>
      </c>
      <c r="D498" s="1">
        <v>27.4</v>
      </c>
      <c r="E498" s="3">
        <v>72699723</v>
      </c>
      <c r="F498" s="3">
        <v>70699723</v>
      </c>
      <c r="G498" s="1" t="s">
        <v>1</v>
      </c>
      <c r="H498" s="1" t="s">
        <v>1</v>
      </c>
      <c r="I498" s="4">
        <v>2000000</v>
      </c>
    </row>
  </sheetData>
  <autoFilter ref="A1:B1" xr:uid="{0DF1E205-0DB8-0944-B733-837A1B8F8BBD}">
    <sortState xmlns:xlrd2="http://schemas.microsoft.com/office/spreadsheetml/2017/richdata2" ref="A2:B288">
      <sortCondition descending="1" ref="B1:B288"/>
    </sortState>
  </autoFilter>
  <hyperlinks>
    <hyperlink ref="B220" r:id="rId1" display="https://www.spotrac.com/redirect/team/59/cap/2025" xr:uid="{4E8E1445-C996-614C-95FA-42312438F612}"/>
    <hyperlink ref="B305" r:id="rId2" display="https://www.spotrac.com/redirect/team/48/cap/2025" xr:uid="{E868F129-111F-1944-B582-A6491034E389}"/>
    <hyperlink ref="B349" r:id="rId3" display="https://www.spotrac.com/redirect/team/49/cap/2025" xr:uid="{9EB2406E-1E86-1D49-883B-17524AEAF423}"/>
    <hyperlink ref="B320" r:id="rId4" display="https://www.spotrac.com/redirect/team/34/cap/2025" xr:uid="{A05FE69E-2597-D042-9838-A6886333C259}"/>
    <hyperlink ref="B70" r:id="rId5" display="https://www.spotrac.com/redirect/team/51/cap/2025" xr:uid="{11CD50EE-D594-654D-A871-45E2CE890736}"/>
    <hyperlink ref="B379" r:id="rId6" display="https://www.spotrac.com/redirect/team/123/cap/2025" xr:uid="{5D52A2C7-187B-664A-B23D-D1D1197075DE}"/>
    <hyperlink ref="B469" r:id="rId7" display="https://www.spotrac.com/redirect/team/36/cap/2025" xr:uid="{B8F57A7F-28D8-5449-8A6E-2E7120BB10A2}"/>
    <hyperlink ref="B175" r:id="rId8" display="https://www.spotrac.com/redirect/team/53/cap/2025" xr:uid="{06E094FE-FE27-124D-A793-D40114E6B391}"/>
    <hyperlink ref="B409" r:id="rId9" display="https://www.spotrac.com/redirect/team/61/cap/2025" xr:uid="{A30172F5-3EE2-B94C-8B65-DA1B04CC3EE3}"/>
    <hyperlink ref="B55" r:id="rId10" display="https://www.spotrac.com/redirect/team/33/cap/2025" xr:uid="{879ABFA0-050E-C44F-93CC-D8E34C010932}"/>
    <hyperlink ref="B25" r:id="rId11" display="https://www.spotrac.com/redirect/team/46/cap/2025" xr:uid="{93845093-78DA-3E4F-9AFE-A18E33C94255}"/>
    <hyperlink ref="B394" r:id="rId12" display="https://www.spotrac.com/redirect/team/44/cap/2025" xr:uid="{DA0A4F7C-40F7-EC4E-9DFD-7ABD6A1DE70F}"/>
    <hyperlink ref="B454" r:id="rId13" display="https://www.spotrac.com/redirect/team/45/cap/2025" xr:uid="{88BD337B-1F96-7442-8F6D-B97634A67292}"/>
    <hyperlink ref="B159" r:id="rId14" display="https://www.spotrac.com/redirect/team/39/cap/2025" xr:uid="{33A7D2B7-0649-5549-BB80-733511A75DD3}"/>
    <hyperlink ref="B205" r:id="rId15" display="https://www.spotrac.com/redirect/team/42/cap/2025" xr:uid="{BBCDC736-5A3B-9045-A121-6ED6E2C2AF64}"/>
    <hyperlink ref="B424" r:id="rId16" display="https://www.spotrac.com/redirect/team/56/cap/2025" xr:uid="{ED773A7C-0ECC-F24A-B160-1C9493A4CC5E}"/>
    <hyperlink ref="B249" r:id="rId17" display="https://www.spotrac.com/redirect/team/54/cap/2025" xr:uid="{A4D92128-7A8E-674A-95DA-9C2065B68034}"/>
    <hyperlink ref="B190" r:id="rId18" display="https://www.spotrac.com/redirect/team/40/cap/2025" xr:uid="{06403391-69A4-C944-B06A-C74925C5CFB8}"/>
    <hyperlink ref="B114" r:id="rId19" display="https://www.spotrac.com/redirect/team/52/cap/2025" xr:uid="{E394CA2A-577A-834A-A97C-2CD220F4334F}"/>
    <hyperlink ref="B9" r:id="rId20" display="https://www.spotrac.com/redirect/team/57/cap/2025" xr:uid="{B4E76C5F-F3D0-2D42-ACFF-3F1FCE18FD3F}"/>
    <hyperlink ref="B40" r:id="rId21" display="https://www.spotrac.com/redirect/team/32/cap/2025" xr:uid="{3B7320C9-27DD-9249-B5FA-E3FAD97052E3}"/>
    <hyperlink ref="B144" r:id="rId22" display="https://www.spotrac.com/redirect/team/58/cap/2025" xr:uid="{3DB6143A-D8E0-BE4F-8465-B7E5A392FFC5}"/>
    <hyperlink ref="B364" r:id="rId23" display="https://www.spotrac.com/redirect/team/55/cap/2025" xr:uid="{0379A3C6-640F-8646-9D8A-C0FBEB02CCB5}"/>
    <hyperlink ref="B264" r:id="rId24" display="https://www.spotrac.com/redirect/team/41/cap/2025" xr:uid="{5BB47B62-EF2D-7C45-A1E0-31CA5FEFE9CB}"/>
    <hyperlink ref="B24" r:id="rId25" display="https://www.spotrac.com/redirect/team/1043/cap/2025" xr:uid="{203F274C-CB30-7E41-A603-E56185DB9091}"/>
    <hyperlink ref="B129" r:id="rId26" display="https://www.spotrac.com/redirect/team/969/cap/2025" xr:uid="{C4D478EE-72C3-9246-8776-1EB051E3A2E5}"/>
    <hyperlink ref="B439" r:id="rId27" display="https://www.spotrac.com/redirect/team/35/cap/2025" xr:uid="{7E8E7390-08A4-A340-A0F2-BC21D360CF8F}"/>
    <hyperlink ref="B235" r:id="rId28" display="https://www.spotrac.com/redirect/team/129/cap/2025" xr:uid="{B52C69CA-A725-5C44-804C-1503CBEFBD9E}"/>
    <hyperlink ref="B484" r:id="rId29" display="https://www.spotrac.com/redirect/team/50/cap/2025" xr:uid="{093F1D3A-6331-964D-9251-1693BCB61EFA}"/>
    <hyperlink ref="B99" r:id="rId30" display="https://www.spotrac.com/redirect/team/37/cap/2025" xr:uid="{980A7051-F17A-F94A-B2F2-9597DC646C8F}"/>
    <hyperlink ref="B321" r:id="rId31" display="https://www.spotrac.com/redirect/team/34/cap/2024" xr:uid="{EF7F4735-141B-224D-8357-9795A084BCCC}"/>
    <hyperlink ref="B350" r:id="rId32" display="https://www.spotrac.com/redirect/team/49/cap/2024" xr:uid="{CBF909EE-50BC-9D41-9162-C3DC595D9F4C}"/>
    <hyperlink ref="B221" r:id="rId33" display="https://www.spotrac.com/redirect/team/59/cap/2024" xr:uid="{46C5B046-0AA1-924D-B477-908D4A3E98D0}"/>
    <hyperlink ref="B306" r:id="rId34" display="https://www.spotrac.com/redirect/team/48/cap/2024" xr:uid="{0EC36B2F-1482-774A-B1C1-F486C02B459C}"/>
    <hyperlink ref="B71" r:id="rId35" display="https://www.spotrac.com/redirect/team/51/cap/2024" xr:uid="{254E0D4F-37B3-CD43-A584-3B3038CAFE9F}"/>
    <hyperlink ref="B176" r:id="rId36" display="https://www.spotrac.com/redirect/team/53/cap/2024" xr:uid="{FCCDA5FE-2585-654C-A8A5-FCE523E3AEB5}"/>
    <hyperlink ref="B26" r:id="rId37" display="https://www.spotrac.com/redirect/team/46/cap/2024" xr:uid="{06315E86-8057-3D4B-BA67-2C78F084D33B}"/>
    <hyperlink ref="B455" r:id="rId38" display="https://www.spotrac.com/redirect/team/45/cap/2024" xr:uid="{7151B337-6239-F946-AC12-C762A069C232}"/>
    <hyperlink ref="B380" r:id="rId39" display="https://www.spotrac.com/redirect/team/123/cap/2024" xr:uid="{5918A893-C09C-EA40-9ECE-503E1546ACF2}"/>
    <hyperlink ref="B10" r:id="rId40" display="https://www.spotrac.com/redirect/team/57/cap/2024" xr:uid="{C37B3B2A-3496-0749-B77D-4E88F95476D3}"/>
    <hyperlink ref="B470" r:id="rId41" display="https://www.spotrac.com/redirect/team/36/cap/2024" xr:uid="{48CB1B35-0831-6E49-8406-64F2260A2203}"/>
    <hyperlink ref="B425" r:id="rId42" display="https://www.spotrac.com/redirect/team/56/cap/2024" xr:uid="{98FD88EA-2601-7E4B-BD3D-F7784891BACD}"/>
    <hyperlink ref="B410" r:id="rId43" display="https://www.spotrac.com/redirect/team/61/cap/2024" xr:uid="{F461A186-E8AC-874B-A919-A64374EADDA1}"/>
    <hyperlink ref="B265" r:id="rId44" display="https://www.spotrac.com/redirect/team/41/cap/2024" xr:uid="{2DA494A5-B1B6-3F40-85D3-CD68512983B5}"/>
    <hyperlink ref="B395" r:id="rId45" display="https://www.spotrac.com/redirect/team/44/cap/2024" xr:uid="{484C5AC1-547B-F74E-A317-87D3EDCEB5C9}"/>
    <hyperlink ref="B191" r:id="rId46" display="https://www.spotrac.com/redirect/team/40/cap/2024" xr:uid="{E8E7438B-2AA8-6040-BCBD-D090726AE6CE}"/>
    <hyperlink ref="B145" r:id="rId47" display="https://www.spotrac.com/redirect/team/58/cap/2024" xr:uid="{ECAEB08E-BAD0-D744-B4F6-9739B16EB952}"/>
    <hyperlink ref="B56" r:id="rId48" display="https://www.spotrac.com/redirect/team/33/cap/2024" xr:uid="{73E802EA-59B6-804E-B8FA-D7E7C898DA1C}"/>
    <hyperlink ref="B100" r:id="rId49" display="https://www.spotrac.com/redirect/team/37/cap/2024" xr:uid="{9486DD56-18A2-9C48-87F5-ED9BB22A1F6E}"/>
    <hyperlink ref="B250" r:id="rId50" display="https://www.spotrac.com/redirect/team/54/cap/2024" xr:uid="{4A3BC1ED-59BE-C84C-B1D9-EE44676804BD}"/>
    <hyperlink ref="B41" r:id="rId51" display="https://www.spotrac.com/redirect/team/32/cap/2024" xr:uid="{96650B23-26AC-8644-A29A-BF96B9F99B19}"/>
    <hyperlink ref="B485" r:id="rId52" display="https://www.spotrac.com/redirect/team/50/cap/2024" xr:uid="{E0FA7BCF-1D1B-5441-A3AF-2B62BE9BDBB5}"/>
    <hyperlink ref="B115" r:id="rId53" display="https://www.spotrac.com/redirect/team/52/cap/2024" xr:uid="{012DF2DA-89A8-9545-8D27-847DDEFA366B}"/>
    <hyperlink ref="B365" r:id="rId54" display="https://www.spotrac.com/redirect/team/55/cap/2024" xr:uid="{C0908340-0593-DB4C-AEFA-6B66EDC12B7A}"/>
    <hyperlink ref="B130" r:id="rId55" display="https://www.spotrac.com/redirect/team/969/cap/2024" xr:uid="{CDFE4F21-8423-084A-B918-E5EDBF0C0B8B}"/>
    <hyperlink ref="B206" r:id="rId56" display="https://www.spotrac.com/redirect/team/42/cap/2024" xr:uid="{2297F92E-F72D-1946-B16B-C5E8430683B3}"/>
    <hyperlink ref="B440" r:id="rId57" display="https://www.spotrac.com/redirect/team/35/cap/2024" xr:uid="{02D46933-1B4F-5E47-B5D5-441F18F2783D}"/>
    <hyperlink ref="B160" r:id="rId58" display="https://www.spotrac.com/redirect/team/39/cap/2024" xr:uid="{6D5AE8D5-8DE6-3A4D-8907-E0D7773D6636}"/>
    <hyperlink ref="B335" r:id="rId59" display="https://www.spotrac.com/redirect/team/43/cap/2024" xr:uid="{ACDF0528-27C7-E840-94AF-44EFE2EE639C}"/>
    <hyperlink ref="B236" r:id="rId60" display="https://www.spotrac.com/redirect/team/129/cap/2024" xr:uid="{BDA51223-3B7C-684E-8B9C-F60F1F428DF4}"/>
    <hyperlink ref="B351" r:id="rId61" display="https://www.spotrac.com/redirect/team/49/cap/2023" xr:uid="{4AB08553-0AFA-614D-8437-418A95392F32}"/>
    <hyperlink ref="B177" r:id="rId62" display="https://www.spotrac.com/redirect/team/53/cap/2023" xr:uid="{6576B58E-59ED-D146-9C72-14A62247FDC8}"/>
    <hyperlink ref="B471" r:id="rId63" display="https://www.spotrac.com/redirect/team/36/cap/2023" xr:uid="{FC1B30B8-54FF-DF41-BBC2-FABE124502A9}"/>
    <hyperlink ref="B322" r:id="rId64" display="https://www.spotrac.com/redirect/team/34/cap/2023" xr:uid="{DFD906FF-51CC-144D-8DEB-54F51DAABCF0}"/>
    <hyperlink ref="B381" r:id="rId65" display="https://www.spotrac.com/redirect/team/123/cap/2023" xr:uid="{80BBDC2E-F468-4644-BD93-7A7B4FCB9CF5}"/>
    <hyperlink ref="B27" r:id="rId66" display="https://www.spotrac.com/redirect/team/46/cap/2023" xr:uid="{706B4818-8091-864B-91F9-9812AB074AB4}"/>
    <hyperlink ref="B456" r:id="rId67" display="https://www.spotrac.com/redirect/team/45/cap/2023" xr:uid="{400EE6AA-D660-6149-AF84-BCC50AB31A8B}"/>
    <hyperlink ref="B222" r:id="rId68" display="https://www.spotrac.com/redirect/team/59/cap/2023" xr:uid="{85AC2D3F-636A-C24E-A722-D259943F7572}"/>
    <hyperlink ref="B72" r:id="rId69" display="https://www.spotrac.com/redirect/team/51/cap/2023" xr:uid="{18C09C39-C41E-D24D-BF31-792885C6CF49}"/>
    <hyperlink ref="B411" r:id="rId70" display="https://www.spotrac.com/redirect/team/61/cap/2023" xr:uid="{24E2ED34-9638-584A-8EBA-C9B61E62CE68}"/>
    <hyperlink ref="B57" r:id="rId71" display="https://www.spotrac.com/redirect/team/33/cap/2023" xr:uid="{FBA09198-9EDF-C94F-9539-0D3FEFD2F3E4}"/>
    <hyperlink ref="B307" r:id="rId72" display="https://www.spotrac.com/redirect/team/48/cap/2023" xr:uid="{DA788DBF-2492-3A4B-9A57-A9983A35F940}"/>
    <hyperlink ref="B251" r:id="rId73" display="https://www.spotrac.com/redirect/team/54/cap/2023" xr:uid="{C857C9C0-5E83-2647-89BF-839EFC3BBD20}"/>
    <hyperlink ref="B101" r:id="rId74" display="https://www.spotrac.com/redirect/team/37/cap/2023" xr:uid="{08D3103B-5AC7-D64F-878B-54801523C339}"/>
    <hyperlink ref="B426" r:id="rId75" display="https://www.spotrac.com/redirect/team/56/cap/2023" xr:uid="{017E2727-6148-E544-86A3-1ACA1C05843A}"/>
    <hyperlink ref="B161" r:id="rId76" display="https://www.spotrac.com/redirect/team/39/cap/2023" xr:uid="{B8815A64-DF65-1C4E-8AF6-625F151E5829}"/>
    <hyperlink ref="B266" r:id="rId77" display="https://www.spotrac.com/redirect/team/41/cap/2023" xr:uid="{29DD58E0-3275-F44D-84F1-742529BDC09C}"/>
    <hyperlink ref="B146" r:id="rId78" display="https://www.spotrac.com/redirect/team/58/cap/2023" xr:uid="{6B475FAC-5B1E-AF4A-92D8-48B58FAD11C4}"/>
    <hyperlink ref="B396" r:id="rId79" display="https://www.spotrac.com/redirect/team/44/cap/2023" xr:uid="{4C20ED15-BF0D-E442-9461-9D8FB0EE1293}"/>
    <hyperlink ref="B237" r:id="rId80" display="https://www.spotrac.com/redirect/team/129/cap/2023" xr:uid="{77B81C06-065A-1E46-903B-0A6E86A614BE}"/>
    <hyperlink ref="B11" r:id="rId81" display="https://www.spotrac.com/redirect/team/57/cap/2023" xr:uid="{CD0288D5-D6ED-C54F-99C9-B9ACD9930B6C}"/>
    <hyperlink ref="B131" r:id="rId82" display="https://www.spotrac.com/redirect/team/969/cap/2023" xr:uid="{C0A73928-154B-EE40-8061-3C07C500674B}"/>
    <hyperlink ref="B192" r:id="rId83" display="https://www.spotrac.com/redirect/team/40/cap/2023" xr:uid="{511A5F55-C8C8-3143-AE8D-5B5A1E8F421D}"/>
    <hyperlink ref="B42" r:id="rId84" display="https://www.spotrac.com/redirect/team/32/cap/2023" xr:uid="{6F0363CE-3A34-CA40-9231-249E90DE1A49}"/>
    <hyperlink ref="B441" r:id="rId85" display="https://www.spotrac.com/redirect/team/35/cap/2023" xr:uid="{725F6F3A-1499-F248-B2DD-1FF3D85FFBC7}"/>
    <hyperlink ref="B486" r:id="rId86" display="https://www.spotrac.com/redirect/team/50/cap/2023" xr:uid="{3C185143-9EE2-FB44-B06F-535D9ECDD1FF}"/>
    <hyperlink ref="B116" r:id="rId87" display="https://www.spotrac.com/redirect/team/52/cap/2023" xr:uid="{C2296995-9D1A-2049-BB1F-9B5BFC348490}"/>
    <hyperlink ref="B207" r:id="rId88" display="https://www.spotrac.com/redirect/team/42/cap/2023" xr:uid="{16CE8967-98A5-F344-9F81-7B5AD6201085}"/>
    <hyperlink ref="B336" r:id="rId89" display="https://www.spotrac.com/redirect/team/43/cap/2023" xr:uid="{CBC89D8B-1F99-CA46-B613-ED0633010BE8}"/>
    <hyperlink ref="B366" r:id="rId90" display="https://www.spotrac.com/redirect/team/55/cap/2023" xr:uid="{6F6EA3FD-27DF-014B-8CEB-E9D8A0F67D3F}"/>
    <hyperlink ref="B308" r:id="rId91" display="https://www.spotrac.com/redirect/team/48/cap/2022" xr:uid="{AB331A29-5F21-4B44-81AA-59F20CB7BE07}"/>
    <hyperlink ref="B223" r:id="rId92" display="https://www.spotrac.com/redirect/team/59/cap/2022" xr:uid="{B25A6D41-065A-534F-947C-D4CC966BD5E8}"/>
    <hyperlink ref="B323" r:id="rId93" display="https://www.spotrac.com/redirect/team/34/cap/2022" xr:uid="{AFE9E2A6-8DFF-A34A-9297-D5A7DE033A78}"/>
    <hyperlink ref="B382" r:id="rId94" display="https://www.spotrac.com/redirect/team/123/cap/2022" xr:uid="{B1673CFA-B3F3-5145-9A90-C2267CB71AA3}"/>
    <hyperlink ref="B352" r:id="rId95" display="https://www.spotrac.com/redirect/team/49/cap/2022" xr:uid="{DC2DD4EE-3F5E-C141-A148-F662247EA5B9}"/>
    <hyperlink ref="B102" r:id="rId96" display="https://www.spotrac.com/redirect/team/37/cap/2022" xr:uid="{668722C4-720C-4841-9CA8-2EA9C8E8B04D}"/>
    <hyperlink ref="B178" r:id="rId97" display="https://www.spotrac.com/redirect/team/53/cap/2022" xr:uid="{010CD33A-729E-D345-90AB-DC0FD1C32714}"/>
    <hyperlink ref="B28" r:id="rId98" display="https://www.spotrac.com/redirect/team/46/cap/2022" xr:uid="{D7557648-3DFC-274D-A2B2-04E8D70AD36E}"/>
    <hyperlink ref="B472" r:id="rId99" display="https://www.spotrac.com/redirect/team/36/cap/2022" xr:uid="{B1098A84-A3A2-D345-9AB0-FA7A56000C64}"/>
    <hyperlink ref="B427" r:id="rId100" display="https://www.spotrac.com/redirect/team/56/cap/2022" xr:uid="{CCE44CCD-99A4-9D40-ADE8-E837BA8EDA6F}"/>
    <hyperlink ref="B208" r:id="rId101" display="https://www.spotrac.com/redirect/team/42/cap/2022" xr:uid="{CE3AB21C-767C-BB4C-9480-101E36CF397D}"/>
    <hyperlink ref="B58" r:id="rId102" display="https://www.spotrac.com/redirect/team/33/cap/2022" xr:uid="{AFDD01A5-9923-144A-9AF2-1C48E03D50C5}"/>
    <hyperlink ref="B162" r:id="rId103" display="https://www.spotrac.com/redirect/team/39/cap/2022" xr:uid="{F379A8A2-B2DD-7E42-BA46-482060FAF04A}"/>
    <hyperlink ref="B457" r:id="rId104" display="https://www.spotrac.com/redirect/team/45/cap/2022" xr:uid="{90ED4A95-D62F-B441-A477-9D7AD7C8D698}"/>
    <hyperlink ref="B252" r:id="rId105" display="https://www.spotrac.com/redirect/team/54/cap/2022" xr:uid="{0966BC8D-693D-5347-838C-AD9E623B1E35}"/>
    <hyperlink ref="B397" r:id="rId106" display="https://www.spotrac.com/redirect/team/44/cap/2022" xr:uid="{7DFE9A1B-8034-6A46-9BA6-B7388AFEC958}"/>
    <hyperlink ref="B73" r:id="rId107" display="https://www.spotrac.com/redirect/team/51/cap/2022" xr:uid="{BBBEC5C6-B033-8147-8C95-18B4ACD206E1}"/>
    <hyperlink ref="B267" r:id="rId108" display="https://www.spotrac.com/redirect/team/41/cap/2022" xr:uid="{056C5652-429D-C140-BB11-CB30D4318AE3}"/>
    <hyperlink ref="B147" r:id="rId109" display="https://www.spotrac.com/redirect/team/58/cap/2022" xr:uid="{DD81607A-EE3B-BC4E-9A67-2EE8D7E534CC}"/>
    <hyperlink ref="B193" r:id="rId110" display="https://www.spotrac.com/redirect/team/40/cap/2022" xr:uid="{592820AC-6296-F441-B053-46C0CCAC1F4B}"/>
    <hyperlink ref="B487" r:id="rId111" display="https://www.spotrac.com/redirect/team/50/cap/2022" xr:uid="{7D555838-A2B2-004B-B604-C47861D408CB}"/>
    <hyperlink ref="B132" r:id="rId112" display="https://www.spotrac.com/redirect/team/969/cap/2022" xr:uid="{33D63A94-5F0E-0647-AE21-98A89A84E6FA}"/>
    <hyperlink ref="B238" r:id="rId113" display="https://www.spotrac.com/redirect/team/129/cap/2022" xr:uid="{B2387E49-187A-D14C-BD3E-CE8EFE2B57F2}"/>
    <hyperlink ref="B12" r:id="rId114" display="https://www.spotrac.com/redirect/team/57/cap/2022" xr:uid="{0FC753FE-7F19-F24F-89A2-A20421580F17}"/>
    <hyperlink ref="B442" r:id="rId115" display="https://www.spotrac.com/redirect/team/35/cap/2022" xr:uid="{1D3124BA-A94F-FE47-8573-B903E1B36FC5}"/>
    <hyperlink ref="B412" r:id="rId116" display="https://www.spotrac.com/redirect/team/61/cap/2022" xr:uid="{16CA43C9-B63A-D248-9C70-0026DE9D0037}"/>
    <hyperlink ref="B367" r:id="rId117" display="https://www.spotrac.com/redirect/team/55/cap/2022" xr:uid="{061F625A-9B7C-F149-BA30-A6A4AFFC5C30}"/>
    <hyperlink ref="B43" r:id="rId118" display="https://www.spotrac.com/redirect/team/32/cap/2022" xr:uid="{C446016C-99A3-5247-9AE5-ADD98D86247F}"/>
    <hyperlink ref="B117" r:id="rId119" display="https://www.spotrac.com/redirect/team/52/cap/2022" xr:uid="{F4190905-CCB4-1246-8F8C-AE70A1125B33}"/>
    <hyperlink ref="B337" r:id="rId120" display="https://www.spotrac.com/redirect/team/43/cap/2022" xr:uid="{7BFD665A-EA72-7442-97A8-756D25262FD2}"/>
    <hyperlink ref="B309" r:id="rId121" display="https://www.spotrac.com/redirect/team/48/cap/2021" xr:uid="{2F321DDA-66C5-C248-9E6F-3FF28E6F09BC}"/>
    <hyperlink ref="B224" r:id="rId122" display="https://www.spotrac.com/redirect/team/59/cap/2021" xr:uid="{6EA56F3B-B90C-D64A-A10B-4514062B5029}"/>
    <hyperlink ref="B179" r:id="rId123" display="https://www.spotrac.com/redirect/team/53/cap/2021" xr:uid="{1C2103A7-24AF-2945-A65A-ECC5437E581B}"/>
    <hyperlink ref="B324" r:id="rId124" display="https://www.spotrac.com/redirect/team/34/cap/2021" xr:uid="{970691FC-45E0-A44A-89E5-C318080DEC58}"/>
    <hyperlink ref="B59" r:id="rId125" display="https://www.spotrac.com/redirect/team/33/cap/2021" xr:uid="{1EDED8F1-ED7C-BD4D-A29E-798EE5D120D3}"/>
    <hyperlink ref="B353" r:id="rId126" display="https://www.spotrac.com/redirect/team/49/cap/2021" xr:uid="{2543F8CB-17CD-E947-8383-C6A2B98A3E6E}"/>
    <hyperlink ref="B413" r:id="rId127" display="https://www.spotrac.com/redirect/team/61/cap/2021" xr:uid="{3D6401EB-3566-2F4F-B72C-7DE76A4B1452}"/>
    <hyperlink ref="B383" r:id="rId128" display="https://www.spotrac.com/redirect/team/123/cap/2021" xr:uid="{86DC1D20-DAA2-F248-9BE2-EFB280F65DC3}"/>
    <hyperlink ref="B103" r:id="rId129" display="https://www.spotrac.com/redirect/team/37/cap/2021" xr:uid="{AE0CC945-C713-F54C-A611-94A1818F144E}"/>
    <hyperlink ref="B428" r:id="rId130" display="https://www.spotrac.com/redirect/team/56/cap/2021" xr:uid="{5D74E420-56A2-4349-9889-4BFEE15BF1DB}"/>
    <hyperlink ref="B29" r:id="rId131" display="https://www.spotrac.com/redirect/team/46/cap/2021" xr:uid="{E447B352-1D0C-4442-A25B-33CFB0F76E44}"/>
    <hyperlink ref="B473" r:id="rId132" display="https://www.spotrac.com/redirect/team/36/cap/2021" xr:uid="{1328C3A2-52BD-5F48-8B5C-F6DD6C0F14D4}"/>
    <hyperlink ref="B118" r:id="rId133" display="https://www.spotrac.com/redirect/team/52/cap/2021" xr:uid="{4B6517F8-36BB-844C-8347-BF5AC6AA2B94}"/>
    <hyperlink ref="B268" r:id="rId134" display="https://www.spotrac.com/redirect/team/41/cap/2021" xr:uid="{BE175D38-7DC8-0141-AB8F-4CAE21FE11BB}"/>
    <hyperlink ref="B253" r:id="rId135" display="https://www.spotrac.com/redirect/team/54/cap/2021" xr:uid="{57337E04-76A6-BD46-8AB1-08D3E48D312D}"/>
    <hyperlink ref="B148" r:id="rId136" display="https://www.spotrac.com/redirect/team/58/cap/2021" xr:uid="{2B3DC9A1-8B41-614E-8596-156A990B93AF}"/>
    <hyperlink ref="B163" r:id="rId137" display="https://www.spotrac.com/redirect/team/39/cap/2021" xr:uid="{967CECE2-664F-7C4D-B76E-BDE24AB95F77}"/>
    <hyperlink ref="B398" r:id="rId138" display="https://www.spotrac.com/redirect/team/44/cap/2021" xr:uid="{EFF81E6C-2D68-FD4B-8A02-63780932EDA6}"/>
    <hyperlink ref="B13" r:id="rId139" display="https://www.spotrac.com/redirect/team/57/cap/2021" xr:uid="{30F1B5B3-2E6E-4346-A069-97DE5450CCE6}"/>
    <hyperlink ref="B194" r:id="rId140" display="https://www.spotrac.com/redirect/team/40/cap/2021" xr:uid="{EB7F9D7A-00CB-D947-A9B2-9E00D311D9EB}"/>
    <hyperlink ref="B338" r:id="rId141" display="https://www.spotrac.com/redirect/team/43/cap/2021" xr:uid="{9CC582BE-1BE2-2149-99B7-3CD13F3A4861}"/>
    <hyperlink ref="B488" r:id="rId142" display="https://www.spotrac.com/redirect/team/50/cap/2021" xr:uid="{656F3C52-D6F8-A74C-8D8A-79F9D2FCB492}"/>
    <hyperlink ref="B443" r:id="rId143" display="https://www.spotrac.com/redirect/team/35/cap/2021" xr:uid="{AA1E959C-8140-1648-B42F-2FEE2F758FAC}"/>
    <hyperlink ref="B133" r:id="rId144" display="https://www.spotrac.com/redirect/team/38/cap/2021" xr:uid="{FAD5D2EB-9ECA-094F-BA6F-83F337240765}"/>
    <hyperlink ref="B209" r:id="rId145" display="https://www.spotrac.com/redirect/team/42/cap/2021" xr:uid="{C8B73239-F65A-7B46-A2E9-655C053312AA}"/>
    <hyperlink ref="B74" r:id="rId146" display="https://www.spotrac.com/redirect/team/51/cap/2021" xr:uid="{EEF7B18D-EFBF-3A4F-A027-8DA0AF7822FC}"/>
    <hyperlink ref="B458" r:id="rId147" display="https://www.spotrac.com/redirect/team/45/cap/2021" xr:uid="{5D03A9BF-777C-234B-8705-0B185685EB60}"/>
    <hyperlink ref="B368" r:id="rId148" display="https://www.spotrac.com/redirect/team/55/cap/2021" xr:uid="{2A6BFE21-1BBC-A942-94AC-DA114CF841AC}"/>
    <hyperlink ref="B239" r:id="rId149" display="https://www.spotrac.com/redirect/team/129/cap/2021" xr:uid="{4FE930EE-DC8B-844D-9C34-317AD458DD8B}"/>
    <hyperlink ref="B44" r:id="rId150" display="https://www.spotrac.com/redirect/team/32/cap/2021" xr:uid="{3E67D971-2B34-E846-8A2A-04ED6D3EE0AF}"/>
    <hyperlink ref="B225" r:id="rId151" display="https://www.spotrac.com/redirect/team/59/cap/2020" xr:uid="{B7980B76-58F4-1C40-9AE3-8EC9F0B0CC43}"/>
    <hyperlink ref="B325" r:id="rId152" display="https://www.spotrac.com/redirect/team/34/cap/2020" xr:uid="{AC39DE08-551F-1443-AE58-457D8EF6759A}"/>
    <hyperlink ref="B75" r:id="rId153" display="https://www.spotrac.com/redirect/team/51/cap/2020" xr:uid="{8A86E21E-3612-5A42-B086-DB99CD9DE7AD}"/>
    <hyperlink ref="B180" r:id="rId154" display="https://www.spotrac.com/redirect/team/53/cap/2020" xr:uid="{7BC37FA0-EC08-CD44-B741-9082785C4DCC}"/>
    <hyperlink ref="B354" r:id="rId155" display="https://www.spotrac.com/redirect/team/49/cap/2020" xr:uid="{8B06205B-C9C3-8D49-BD02-D87DF3E52014}"/>
    <hyperlink ref="B210" r:id="rId156" display="https://www.spotrac.com/redirect/team/42/cap/2020" xr:uid="{3EAD8313-7EA0-0A42-8E33-6D91203D50FA}"/>
    <hyperlink ref="B384" r:id="rId157" display="https://www.spotrac.com/redirect/team/123/cap/2020" xr:uid="{C8DFBA2C-9672-3045-9DF6-6DC950F67156}"/>
    <hyperlink ref="B119" r:id="rId158" display="https://www.spotrac.com/redirect/team/52/cap/2020" xr:uid="{FE4B42D1-F912-D344-8844-283A8F43A83B}"/>
    <hyperlink ref="B429" r:id="rId159" display="https://www.spotrac.com/redirect/team/56/cap/2020" xr:uid="{42ACB8A1-321E-A44C-8D54-12E89506E45A}"/>
    <hyperlink ref="B30" r:id="rId160" display="https://www.spotrac.com/redirect/team/46/cap/2020" xr:uid="{58BB8468-FE7E-2447-9C20-4842517020E3}"/>
    <hyperlink ref="B269" r:id="rId161" display="https://www.spotrac.com/redirect/team/41/cap/2020" xr:uid="{D602E329-A83D-4B48-9E53-6A507EE69863}"/>
    <hyperlink ref="B310" r:id="rId162" display="https://www.spotrac.com/redirect/team/48/cap/2020" xr:uid="{A47829FD-C839-B645-86EC-060273F4693F}"/>
    <hyperlink ref="B489" r:id="rId163" display="https://www.spotrac.com/redirect/team/50/cap/2020" xr:uid="{F8660D61-DBCA-7A45-8F81-1933463E5222}"/>
    <hyperlink ref="B104" r:id="rId164" display="https://www.spotrac.com/redirect/team/37/cap/2020" xr:uid="{B46FA4C8-B498-8E47-971C-80210EFDE536}"/>
    <hyperlink ref="B414" r:id="rId165" display="https://www.spotrac.com/redirect/team/61/cap/2020" xr:uid="{43C340EA-6A48-D343-84B1-8D1350462D78}"/>
    <hyperlink ref="B60" r:id="rId166" display="https://www.spotrac.com/redirect/team/33/cap/2020" xr:uid="{337BD0B6-2DD8-B349-B233-115093020E32}"/>
    <hyperlink ref="B339" r:id="rId167" display="https://www.spotrac.com/redirect/team/43/cap/2020" xr:uid="{0747F4FA-FD2F-F04F-9C42-78AC0C01B1DE}"/>
    <hyperlink ref="B134" r:id="rId168" display="https://www.spotrac.com/redirect/team/38/cap/2020" xr:uid="{67B6DE03-C32B-8441-AF2A-B9C2D7D23F6B}"/>
    <hyperlink ref="B474" r:id="rId169" display="https://www.spotrac.com/redirect/team/36/cap/2020" xr:uid="{A481D28D-B9E6-0A4C-B61B-E842C407B90D}"/>
    <hyperlink ref="B459" r:id="rId170" display="https://www.spotrac.com/redirect/team/45/cap/2020" xr:uid="{754997A7-B3BA-BE48-9E00-72AC75B4BF75}"/>
    <hyperlink ref="B164" r:id="rId171" display="https://www.spotrac.com/redirect/team/39/cap/2020" xr:uid="{9971D0EF-E7AA-164B-AFD8-0F5D79E221AE}"/>
    <hyperlink ref="B254" r:id="rId172" display="https://www.spotrac.com/redirect/team/54/cap/2020" xr:uid="{1077B6C9-D6F0-3C42-BBC6-DBED16834BC7}"/>
    <hyperlink ref="B399" r:id="rId173" display="https://www.spotrac.com/redirect/team/44/cap/2020" xr:uid="{87389DC1-515E-1D41-82CA-BE2CB2ABBEFF}"/>
    <hyperlink ref="B195" r:id="rId174" display="https://www.spotrac.com/redirect/team/40/cap/2020" xr:uid="{C863EE7F-59EC-4B4D-B490-3708553A86BB}"/>
    <hyperlink ref="B149" r:id="rId175" display="https://www.spotrac.com/redirect/team/58/cap/2020" xr:uid="{6CE8DE04-8784-2246-8498-33F7AEB873CA}"/>
    <hyperlink ref="B444" r:id="rId176" display="https://www.spotrac.com/redirect/team/35/cap/2020" xr:uid="{F7E7E08A-4AD5-8E43-8788-A8521F0DB317}"/>
    <hyperlink ref="B14" r:id="rId177" display="https://www.spotrac.com/redirect/team/57/cap/2020" xr:uid="{7F11718F-47C5-A644-A02D-F516A0A8E050}"/>
    <hyperlink ref="B240" r:id="rId178" display="https://www.spotrac.com/redirect/team/129/cap/2020" xr:uid="{FB965A09-0A9A-CB4D-9F68-3B90F213677C}"/>
    <hyperlink ref="B369" r:id="rId179" display="https://www.spotrac.com/redirect/team/55/cap/2020" xr:uid="{39B3C764-DE59-F749-9406-AD655DB72DAD}"/>
    <hyperlink ref="B45" r:id="rId180" display="https://www.spotrac.com/redirect/team/32/cap/2020" xr:uid="{AE7F84AA-89D1-5F41-A604-EBB53B1C4A9F}"/>
    <hyperlink ref="B76" r:id="rId181" display="https://www.spotrac.com/redirect/team/51/cap/2019" xr:uid="{70B21C07-A30F-3D4B-80C8-2EF23DC9B279}"/>
    <hyperlink ref="B326" r:id="rId182" display="https://www.spotrac.com/redirect/team/34/cap/2019" xr:uid="{483508E8-29CF-9F40-9885-7205903EA25C}"/>
    <hyperlink ref="B61" r:id="rId183" display="https://www.spotrac.com/redirect/team/33/cap/2019" xr:uid="{DF03EA4B-944E-F644-888F-7C679C66F84F}"/>
    <hyperlink ref="B226" r:id="rId184" display="https://www.spotrac.com/redirect/team/59/cap/2019" xr:uid="{67266A6C-5D10-4841-B81F-92999B444559}"/>
    <hyperlink ref="B490" r:id="rId185" display="https://www.spotrac.com/redirect/team/50/cap/2019" xr:uid="{E5202561-72C6-4E46-9F8A-D82B9832BB8A}"/>
    <hyperlink ref="B181" r:id="rId186" display="https://www.spotrac.com/redirect/team/53/cap/2019" xr:uid="{AEB57C7C-0D40-2A46-831C-65C134A588E2}"/>
    <hyperlink ref="B415" r:id="rId187" display="https://www.spotrac.com/redirect/team/61/cap/2019" xr:uid="{91A7F8D2-2A4D-FF4D-B210-1D9B8967F3A0}"/>
    <hyperlink ref="B430" r:id="rId188" display="https://www.spotrac.com/redirect/team/56/cap/2019" xr:uid="{89E1B9CA-5CB3-FE47-B7A2-BEC1D58E623D}"/>
    <hyperlink ref="B150" r:id="rId189" display="https://www.spotrac.com/redirect/team/58/cap/2019" xr:uid="{ED8643C7-5564-0041-B3AF-59B3AD475C56}"/>
    <hyperlink ref="B211" r:id="rId190" display="https://www.spotrac.com/redirect/team/42/cap/2019" xr:uid="{1EA211CA-903B-D943-915D-7B733AF268BF}"/>
    <hyperlink ref="B31" r:id="rId191" display="https://www.spotrac.com/redirect/team/46/cap/2019" xr:uid="{323387DE-6781-144E-ACDD-845C49E17A55}"/>
    <hyperlink ref="B255" r:id="rId192" display="https://www.spotrac.com/redirect/team/54/cap/2019" xr:uid="{5B0B9058-ACC6-B547-870F-A542B1DB752B}"/>
    <hyperlink ref="B311" r:id="rId193" display="https://www.spotrac.com/redirect/team/48/cap/2019" xr:uid="{F0DA90E3-868A-FF41-AABA-2F3F2D947808}"/>
    <hyperlink ref="B270" r:id="rId194" display="https://www.spotrac.com/redirect/team/41/cap/2019" xr:uid="{0646F040-49BC-7E43-91DF-8ED84CD803B9}"/>
    <hyperlink ref="B460" r:id="rId195" display="https://www.spotrac.com/redirect/team/45/cap/2019" xr:uid="{F2FCFB6C-F1E4-C14D-80DF-89E2A16C8706}"/>
    <hyperlink ref="B400" r:id="rId196" display="https://www.spotrac.com/redirect/team/44/cap/2019" xr:uid="{4C959052-C3F2-6B4E-9713-EBB02DCBEFDB}"/>
    <hyperlink ref="B120" r:id="rId197" display="https://www.spotrac.com/redirect/team/52/cap/2019" xr:uid="{74134898-D85A-CD4B-971A-4B1DF4C08DB4}"/>
    <hyperlink ref="B135" r:id="rId198" display="https://www.spotrac.com/redirect/team/38/cap/2019" xr:uid="{4198858D-B6F1-D24D-9D57-483E53C4CC40}"/>
    <hyperlink ref="B340" r:id="rId199" display="https://www.spotrac.com/redirect/team/43/cap/2019" xr:uid="{ABDD78B8-E330-CF4F-9AAA-56B0BF7AC4D9}"/>
    <hyperlink ref="B355" r:id="rId200" display="https://www.spotrac.com/redirect/team/49/cap/2019" xr:uid="{EB142BBF-7FBC-9B41-8953-80F9CDEDE7D4}"/>
    <hyperlink ref="B165" r:id="rId201" display="https://www.spotrac.com/redirect/team/39/cap/2019" xr:uid="{D1B8E236-65EA-F847-825C-1BA5ED5F2A23}"/>
    <hyperlink ref="B196" r:id="rId202" display="https://www.spotrac.com/redirect/team/40/cap/2019" xr:uid="{4B1AC5C5-8066-3545-9F91-852238D68699}"/>
    <hyperlink ref="B105" r:id="rId203" display="https://www.spotrac.com/redirect/team/37/cap/2019" xr:uid="{139FBADB-4152-BA49-A731-F1E8F01757A2}"/>
    <hyperlink ref="B241" r:id="rId204" display="https://www.spotrac.com/redirect/team/129/cap/2019" xr:uid="{6133550C-04AF-EF40-AE44-73A95E6A6004}"/>
    <hyperlink ref="B385" r:id="rId205" display="https://www.spotrac.com/redirect/team/123/cap/2019" xr:uid="{79599CBA-C2AA-8340-A0FD-FB8E7AE977FD}"/>
    <hyperlink ref="B15" r:id="rId206" display="https://www.spotrac.com/redirect/team/57/cap/2019" xr:uid="{A3CBA71F-C15C-AF4A-8E6A-5B3B8FFF4133}"/>
    <hyperlink ref="B445" r:id="rId207" display="https://www.spotrac.com/redirect/team/35/cap/2019" xr:uid="{B76B3CFF-CE6D-D247-B019-F1F672284BC2}"/>
    <hyperlink ref="B46" r:id="rId208" display="https://www.spotrac.com/redirect/team/32/cap/2019" xr:uid="{15179C8E-DAC1-A64B-96DF-1F85FFAE4B0C}"/>
    <hyperlink ref="B475" r:id="rId209" display="https://www.spotrac.com/redirect/team/36/cap/2019" xr:uid="{052AD11E-6A7D-5C46-A788-CE5E481F0CDE}"/>
    <hyperlink ref="B370" r:id="rId210" display="https://www.spotrac.com/redirect/team/55/cap/2019" xr:uid="{D2F4C342-DEAE-9445-9A18-7F6E920BBDC1}"/>
    <hyperlink ref="B62" r:id="rId211" display="https://www.spotrac.com/redirect/team/33/cap/2018" xr:uid="{9B0F2F79-9F3E-A749-ABA7-5E423D2AD5E0}"/>
    <hyperlink ref="B227" r:id="rId212" display="https://www.spotrac.com/redirect/team/59/cap/2018" xr:uid="{98EA75F5-80F6-5E49-BC01-3438D31C8299}"/>
    <hyperlink ref="B182" r:id="rId213" display="https://www.spotrac.com/redirect/team/53/cap/2018" xr:uid="{E4D40E58-FF7F-1148-A005-DF22FD6B2210}"/>
    <hyperlink ref="B77" r:id="rId214" display="https://www.spotrac.com/redirect/team/51/cap/2018" xr:uid="{188DAFC8-3A5B-BB48-BF50-6CD7C4511E4D}"/>
    <hyperlink ref="B327" r:id="rId215" display="https://www.spotrac.com/redirect/team/34/cap/2018" xr:uid="{2A4A90B2-A618-6944-8757-F348F48A1E5F}"/>
    <hyperlink ref="B401" r:id="rId216" display="https://www.spotrac.com/redirect/team/44/cap/2018" xr:uid="{3CBB9E4A-D73B-FC41-BD85-CDE46FA2E01A}"/>
    <hyperlink ref="B151" r:id="rId217" display="https://www.spotrac.com/redirect/team/58/cap/2018" xr:uid="{32427614-F74C-534A-8D1A-BA809F594569}"/>
    <hyperlink ref="B491" r:id="rId218" display="https://www.spotrac.com/redirect/team/50/cap/2018" xr:uid="{0FB5CD42-9380-9143-9679-E7D504822E12}"/>
    <hyperlink ref="B136" r:id="rId219" display="https://www.spotrac.com/redirect/team/38/cap/2018" xr:uid="{892454BF-AEFE-3048-B8DB-896557FB18CF}"/>
    <hyperlink ref="B416" r:id="rId220" display="https://www.spotrac.com/redirect/team/61/cap/2018" xr:uid="{4F07EDDC-CE23-8142-90B5-EB2579999914}"/>
    <hyperlink ref="B431" r:id="rId221" display="https://www.spotrac.com/redirect/team/56/cap/2018" xr:uid="{82D66BA4-76A0-3349-9808-8263906AE4DF}"/>
    <hyperlink ref="B16" r:id="rId222" display="https://www.spotrac.com/redirect/team/57/cap/2018" xr:uid="{9A0B4A97-8FDA-7B4C-B794-BB5F62A7B6B1}"/>
    <hyperlink ref="B356" r:id="rId223" display="https://www.spotrac.com/redirect/team/49/cap/2018" xr:uid="{27A15EB2-18E8-BD41-83E3-F88C9A26600D}"/>
    <hyperlink ref="B461" r:id="rId224" display="https://www.spotrac.com/redirect/team/45/cap/2018" xr:uid="{28916639-1840-1742-8BF1-1790826089B7}"/>
    <hyperlink ref="B212" r:id="rId225" display="https://www.spotrac.com/redirect/team/42/cap/2018" xr:uid="{8E41EC90-8713-9041-A2A7-C242BA665706}"/>
    <hyperlink ref="B256" r:id="rId226" display="https://www.spotrac.com/redirect/team/54/cap/2018" xr:uid="{F81E80AA-65D3-6C49-B1A9-A22BC364A25E}"/>
    <hyperlink ref="B197" r:id="rId227" display="https://www.spotrac.com/redirect/team/40/cap/2018" xr:uid="{74C5EE9A-0B0B-D642-BAEB-66E92797EA7C}"/>
    <hyperlink ref="B312" r:id="rId228" display="https://www.spotrac.com/redirect/team/48/cap/2018" xr:uid="{2A63D3F6-A7B7-AF4B-B9FB-65B35BAC7F51}"/>
    <hyperlink ref="B121" r:id="rId229" display="https://www.spotrac.com/redirect/team/52/cap/2018" xr:uid="{500A9730-43CA-5F47-803C-D92958408C3F}"/>
    <hyperlink ref="B476" r:id="rId230" display="https://www.spotrac.com/redirect/team/36/cap/2018" xr:uid="{E4237BC3-CB4F-F74F-8636-9A1EF5E81530}"/>
    <hyperlink ref="B32" r:id="rId231" display="https://www.spotrac.com/redirect/team/46/cap/2018" xr:uid="{E032576B-3101-3041-96EF-5779C245A389}"/>
    <hyperlink ref="B47" r:id="rId232" display="https://www.spotrac.com/redirect/team/32/cap/2018" xr:uid="{0BA7E929-4B8F-0C4F-BE3B-DE080F65DC20}"/>
    <hyperlink ref="B371" r:id="rId233" display="https://www.spotrac.com/redirect/team/55/cap/2018" xr:uid="{7C772B69-3D6F-A342-9CF7-F6EDF6D5A9BA}"/>
    <hyperlink ref="B166" r:id="rId234" display="https://www.spotrac.com/redirect/team/39/cap/2018" xr:uid="{D032CA84-ACBA-CB44-A618-2386FE87930C}"/>
    <hyperlink ref="B341" r:id="rId235" display="https://www.spotrac.com/redirect/team/43/cap/2018" xr:uid="{954999E1-B3E7-E94A-812A-1CF0D16906D4}"/>
    <hyperlink ref="B106" r:id="rId236" display="https://www.spotrac.com/redirect/team/37/cap/2018" xr:uid="{963AD8A7-67C7-C04C-A072-6DBE0B90F926}"/>
    <hyperlink ref="B271" r:id="rId237" display="https://www.spotrac.com/redirect/team/41/cap/2018" xr:uid="{A21F315A-2E6C-FD4E-B45E-BF958C5943F1}"/>
    <hyperlink ref="B386" r:id="rId238" display="https://www.spotrac.com/redirect/team/123/cap/2018" xr:uid="{A2B2AA36-BFDC-F34A-BF22-072E0CFFBB93}"/>
    <hyperlink ref="B242" r:id="rId239" display="https://www.spotrac.com/redirect/team/129/cap/2018" xr:uid="{734DF3DD-42A6-4B42-A3E8-8EBF3E36B9F4}"/>
    <hyperlink ref="B446" r:id="rId240" display="https://www.spotrac.com/redirect/team/35/cap/2018" xr:uid="{E02542C4-7EAA-EF4A-B93E-8901F7D2E23D}"/>
    <hyperlink ref="B228" r:id="rId241" display="https://www.spotrac.com/redirect/team/59/cap/2017" xr:uid="{D0890EB1-C914-214C-989B-82AB74E42669}"/>
    <hyperlink ref="B63" r:id="rId242" display="https://www.spotrac.com/redirect/team/33/cap/2017" xr:uid="{5AD814BD-9A33-3447-8D65-A2D4AD3D377C}"/>
    <hyperlink ref="B417" r:id="rId243" display="https://www.spotrac.com/redirect/team/61/cap/2017" xr:uid="{D11B2A45-448C-FF41-A421-0E65FA51DD5E}"/>
    <hyperlink ref="B328" r:id="rId244" display="https://www.spotrac.com/redirect/team/34/cap/2017" xr:uid="{C7D68FF3-8C84-5F4B-B501-B6B06CC0DCE2}"/>
    <hyperlink ref="B492" r:id="rId245" display="https://www.spotrac.com/redirect/team/50/cap/2017" xr:uid="{93E0C24B-69DF-2549-A47F-E046CD6CB466}"/>
    <hyperlink ref="B48" r:id="rId246" display="https://www.spotrac.com/redirect/team/32/cap/2017" xr:uid="{E8C1EF34-0A68-6241-B86F-C4E316A76532}"/>
    <hyperlink ref="B78" r:id="rId247" display="https://www.spotrac.com/redirect/team/51/cap/2017" xr:uid="{FE1319C9-6A04-2642-B453-40A0DF9C5806}"/>
    <hyperlink ref="B183" r:id="rId248" display="https://www.spotrac.com/redirect/team/53/cap/2017" xr:uid="{895069A9-A578-D14D-978F-2D63883194AC}"/>
    <hyperlink ref="B477" r:id="rId249" display="https://www.spotrac.com/redirect/team/36/cap/2017" xr:uid="{00458B7C-C9FF-BA4E-99AE-4F9530FF544A}"/>
    <hyperlink ref="B462" r:id="rId250" display="https://www.spotrac.com/redirect/team/45/cap/2017" xr:uid="{4AD25AA0-2B35-0249-BD4E-1560BEF04486}"/>
    <hyperlink ref="B198" r:id="rId251" display="https://www.spotrac.com/redirect/team/40/cap/2017" xr:uid="{8C02C4B8-DF6B-A94F-9140-068A69E73100}"/>
    <hyperlink ref="B402" r:id="rId252" display="https://www.spotrac.com/redirect/team/44/cap/2017" xr:uid="{B4B2299D-804E-B241-BF38-47681BFC80AB}"/>
    <hyperlink ref="B137" r:id="rId253" display="https://www.spotrac.com/redirect/team/38/cap/2017" xr:uid="{0DAEC7AD-D7D6-604A-8229-EB5DDB797529}"/>
    <hyperlink ref="B213" r:id="rId254" display="https://www.spotrac.com/redirect/team/42/cap/2017" xr:uid="{C012B328-B797-5C47-999B-F05106753BF0}"/>
    <hyperlink ref="B152" r:id="rId255" display="https://www.spotrac.com/redirect/team/58/cap/2017" xr:uid="{BB784FAC-CBBB-D748-9D3D-B52AC09AF276}"/>
    <hyperlink ref="B432" r:id="rId256" display="https://www.spotrac.com/redirect/team/56/cap/2017" xr:uid="{25A543F0-25D6-8F45-9857-7FECCFB9811F}"/>
    <hyperlink ref="B167" r:id="rId257" display="https://www.spotrac.com/redirect/team/39/cap/2017" xr:uid="{D988E707-9F18-4646-A29D-6F1F3F7869B6}"/>
    <hyperlink ref="B33" r:id="rId258" display="https://www.spotrac.com/redirect/team/46/cap/2017" xr:uid="{BA7E7263-7924-7346-A40D-EF92A3861713}"/>
    <hyperlink ref="B17" r:id="rId259" display="https://www.spotrac.com/redirect/team/57/cap/2017" xr:uid="{2D86DFA6-33E6-2D48-BC70-50516C595ECE}"/>
    <hyperlink ref="B272" r:id="rId260" display="https://www.spotrac.com/redirect/team/41/cap/2017" xr:uid="{22E99B5E-D997-9F42-983E-6EA1E1EB9D71}"/>
    <hyperlink ref="B243" r:id="rId261" display="https://www.spotrac.com/redirect/team/129/cap/2017" xr:uid="{6750149C-EC65-C64B-BA6F-25C231A487CE}"/>
    <hyperlink ref="B372" r:id="rId262" display="https://www.spotrac.com/redirect/team/55/cap/2017" xr:uid="{42D9548D-0609-EA4E-9A01-6AEE1FBC7EDE}"/>
    <hyperlink ref="B122" r:id="rId263" display="https://www.spotrac.com/redirect/team/52/cap/2017" xr:uid="{64CF016D-099D-B94C-A19D-9AC943B96F10}"/>
    <hyperlink ref="B447" r:id="rId264" display="https://www.spotrac.com/redirect/team/35/cap/2017" xr:uid="{2FBE559B-F466-E84B-BC87-05E0A4956AF9}"/>
    <hyperlink ref="B257" r:id="rId265" display="https://www.spotrac.com/redirect/team/54/cap/2017" xr:uid="{89214547-0181-5F4A-AD85-E5C4B0978B00}"/>
    <hyperlink ref="B313" r:id="rId266" display="https://www.spotrac.com/redirect/team/48/cap/2017" xr:uid="{DD9D21DB-217A-7441-9284-7E9CC03A2E96}"/>
    <hyperlink ref="B107" r:id="rId267" display="https://www.spotrac.com/redirect/team/37/cap/2017" xr:uid="{850906C8-CF3E-594B-9E6F-696C3A618C12}"/>
    <hyperlink ref="B342" r:id="rId268" display="https://www.spotrac.com/redirect/team/43/cap/2017" xr:uid="{919DEB3F-9D65-A540-B25A-B4317AE96214}"/>
    <hyperlink ref="B357" r:id="rId269" display="https://www.spotrac.com/redirect/team/49/cap/2017" xr:uid="{7FA9651C-C318-8A43-8659-1A1C2D7A90D0}"/>
    <hyperlink ref="B387" r:id="rId270" display="https://www.spotrac.com/redirect/team/123/cap/2017" xr:uid="{35053B8E-9BF7-6048-AB50-1A4AC74984F3}"/>
    <hyperlink ref="B229" r:id="rId271" display="https://www.spotrac.com/redirect/team/59/cap/2016" xr:uid="{DB846505-68DB-6C43-BE33-D66547AA1351}"/>
    <hyperlink ref="B418" r:id="rId272" display="https://www.spotrac.com/redirect/team/61/cap/2016" xr:uid="{1BBD4D28-164C-5C4E-8427-00E1B8E1B8E2}"/>
    <hyperlink ref="B79" r:id="rId273" display="https://www.spotrac.com/redirect/team/51/cap/2016" xr:uid="{1084EE4A-1547-F744-BB72-5268505D7375}"/>
    <hyperlink ref="B64" r:id="rId274" display="https://www.spotrac.com/redirect/team/33/cap/2016" xr:uid="{4703E5BF-23A9-2B4F-A717-C801B1CA426C}"/>
    <hyperlink ref="B168" r:id="rId275" display="https://www.spotrac.com/redirect/team/39/cap/2016" xr:uid="{D35DE8CA-1A7D-AE40-8A88-673392937DAD}"/>
    <hyperlink ref="B329" r:id="rId276" display="https://www.spotrac.com/redirect/team/34/cap/2016" xr:uid="{98B50395-4C5C-0148-BBDF-F9A92D1A5B0F}"/>
    <hyperlink ref="B49" r:id="rId277" display="https://www.spotrac.com/redirect/team/32/cap/2016" xr:uid="{8EAA4489-7843-4E4A-8F98-C0B10A011505}"/>
    <hyperlink ref="B463" r:id="rId278" display="https://www.spotrac.com/redirect/team/45/cap/2016" xr:uid="{38329267-4439-A842-A595-BFFFD2F97B23}"/>
    <hyperlink ref="B478" r:id="rId279" display="https://www.spotrac.com/redirect/team/36/cap/2016" xr:uid="{2A5CB55E-587F-F547-844E-49ECD6C70CCB}"/>
    <hyperlink ref="B433" r:id="rId280" display="https://www.spotrac.com/redirect/team/56/cap/2016" xr:uid="{EF5012A5-8AA2-ED47-8624-8C2D7B44809C}"/>
    <hyperlink ref="B403" r:id="rId281" display="https://www.spotrac.com/redirect/team/44/cap/2016" xr:uid="{9662FA23-6AFE-F94B-AD86-11B42C4D316C}"/>
    <hyperlink ref="B493" r:id="rId282" display="https://www.spotrac.com/redirect/team/50/cap/2016" xr:uid="{988519A1-7380-A14C-8E19-46CDF9AE03AD}"/>
    <hyperlink ref="B199" r:id="rId283" display="https://www.spotrac.com/redirect/team/40/cap/2016" xr:uid="{61F125E2-5A9A-2D4F-8CDC-0E5F7C6E6A27}"/>
    <hyperlink ref="B314" r:id="rId284" display="https://www.spotrac.com/redirect/team/48/cap/2016" xr:uid="{41C069E2-B9FF-814A-B2B9-67537A37804B}"/>
    <hyperlink ref="B214" r:id="rId285" display="https://www.spotrac.com/redirect/team/42/cap/2016" xr:uid="{C938A442-7F60-354E-9439-3252E4B56B6B}"/>
    <hyperlink ref="B108" r:id="rId286" display="https://www.spotrac.com/redirect/team/37/cap/2016" xr:uid="{9BCF41A4-3098-2948-A808-FDCA097D3D61}"/>
    <hyperlink ref="B153" r:id="rId287" display="https://www.spotrac.com/redirect/team/58/cap/2016" xr:uid="{336648CC-BB0A-8441-BF53-17F1548B7C10}"/>
    <hyperlink ref="B18" r:id="rId288" display="https://www.spotrac.com/redirect/team/57/cap/2016" xr:uid="{DB05D352-58FC-9640-A120-61309C2F0B48}"/>
    <hyperlink ref="B184" r:id="rId289" display="https://www.spotrac.com/redirect/team/53/cap/2016" xr:uid="{96741438-CB65-7B48-ADC6-498AE88BCC11}"/>
    <hyperlink ref="B273" r:id="rId290" display="https://www.spotrac.com/redirect/team/41/cap/2016" xr:uid="{BCD0AD7F-8D7C-6546-BD84-3176866F9DFA}"/>
    <hyperlink ref="B123" r:id="rId291" display="https://www.spotrac.com/redirect/team/52/cap/2016" xr:uid="{FF79DFE0-BBFA-464B-A473-DE719AF62E76}"/>
    <hyperlink ref="B138" r:id="rId292" display="https://www.spotrac.com/redirect/team/38/cap/2016" xr:uid="{3944D2C3-DDA5-A548-9190-F51217D9A093}"/>
    <hyperlink ref="B244" r:id="rId293" display="https://www.spotrac.com/redirect/team/129/cap/2016" xr:uid="{46315DE7-5213-AB4D-B5E7-D6E54CC7035A}"/>
    <hyperlink ref="B373" r:id="rId294" display="https://www.spotrac.com/redirect/team/55/cap/2016" xr:uid="{C24F944A-45E6-3845-9DE5-A6E9B0C85CC8}"/>
    <hyperlink ref="B358" r:id="rId295" display="https://www.spotrac.com/redirect/team/49/cap/2016" xr:uid="{4FC70027-ABBD-BE48-9CAC-DC66F7E8794E}"/>
    <hyperlink ref="B258" r:id="rId296" display="https://www.spotrac.com/redirect/team/54/cap/2016" xr:uid="{01B32249-EC97-9B4A-9225-02293EE18025}"/>
    <hyperlink ref="B34" r:id="rId297" display="https://www.spotrac.com/redirect/team/46/cap/2016" xr:uid="{3C3B6AE4-949B-AD41-9E2C-F8B674D0EAA3}"/>
    <hyperlink ref="B448" r:id="rId298" display="https://www.spotrac.com/redirect/team/35/cap/2016" xr:uid="{A4CBEDDF-00DC-EA44-9A3D-79F57CDB706A}"/>
    <hyperlink ref="B343" r:id="rId299" display="https://www.spotrac.com/redirect/team/43/cap/2016" xr:uid="{60FE9C57-0923-0742-BB16-A0DB61FE981F}"/>
    <hyperlink ref="B388" r:id="rId300" display="https://www.spotrac.com/redirect/team/123/cap/2016" xr:uid="{409937B0-7625-C448-9548-43357EDC8312}"/>
    <hyperlink ref="B230" r:id="rId301" display="https://www.spotrac.com/redirect/team/59/cap/2015" xr:uid="{5270BCA7-5DCC-DA49-AA56-113C37CD76A9}"/>
    <hyperlink ref="B330" r:id="rId302" display="https://www.spotrac.com/redirect/team/34/cap/2015" xr:uid="{0729A345-FE41-7C48-B4B7-29243964ADDD}"/>
    <hyperlink ref="B494" r:id="rId303" display="https://www.spotrac.com/redirect/team/50/cap/2015" xr:uid="{4B57B377-D83E-2943-AB0E-9335D1054DA1}"/>
    <hyperlink ref="B419" r:id="rId304" display="https://www.spotrac.com/redirect/team/61/cap/2015" xr:uid="{116EACF8-2499-904F-9480-F4567FED7852}"/>
    <hyperlink ref="B434" r:id="rId305" display="https://www.spotrac.com/redirect/team/56/cap/2015" xr:uid="{381F39FC-ADC2-1742-A67B-824ACCCCF109}"/>
    <hyperlink ref="B464" r:id="rId306" display="https://www.spotrac.com/redirect/team/45/cap/2015" xr:uid="{D451BCDF-9497-A84B-BC4B-77545E42E475}"/>
    <hyperlink ref="B200" r:id="rId307" display="https://www.spotrac.com/redirect/team/40/cap/2015" xr:uid="{79E8C300-4E90-B34C-BF3F-3C5AF7D6E774}"/>
    <hyperlink ref="B169" r:id="rId308" display="https://www.spotrac.com/redirect/team/39/cap/2015" xr:uid="{FF948D95-75B0-7A49-B633-9759A92D7775}"/>
    <hyperlink ref="B50" r:id="rId309" display="https://www.spotrac.com/redirect/team/32/cap/2015" xr:uid="{C6A58D82-9C5C-1245-8D79-E37C19210050}"/>
    <hyperlink ref="B80" r:id="rId310" display="https://www.spotrac.com/redirect/team/51/cap/2015" xr:uid="{4D6439FF-2D10-0847-965C-AEAB58A13F2E}"/>
    <hyperlink ref="B215" r:id="rId311" display="https://www.spotrac.com/redirect/team/42/cap/2015" xr:uid="{0AFC8795-0115-3C4C-B3D0-39792396F4BC}"/>
    <hyperlink ref="B479" r:id="rId312" display="https://www.spotrac.com/redirect/team/36/cap/2015" xr:uid="{C0777DFC-6086-CA4E-91A7-D05BE939466F}"/>
    <hyperlink ref="B315" r:id="rId313" display="https://www.spotrac.com/redirect/team/48/cap/2015" xr:uid="{4575FE65-CB32-A84B-81F8-81B7E6F297F5}"/>
    <hyperlink ref="B274" r:id="rId314" display="https://www.spotrac.com/redirect/team/41/cap/2015" xr:uid="{8662DAF4-1A6C-7F43-82CC-2F8C9B948FAF}"/>
    <hyperlink ref="B404" r:id="rId315" display="https://www.spotrac.com/redirect/team/44/cap/2015" xr:uid="{E994B51A-71BB-7843-B869-F946E2ECDCAC}"/>
    <hyperlink ref="B65" r:id="rId316" display="https://www.spotrac.com/redirect/team/33/cap/2015" xr:uid="{56B2CB1F-032F-3E40-BB65-A6455B2EA199}"/>
    <hyperlink ref="B109" r:id="rId317" display="https://www.spotrac.com/redirect/team/37/cap/2015" xr:uid="{5678C1BE-EFD6-964F-9A7E-85FBF47A06B2}"/>
    <hyperlink ref="B389" r:id="rId318" display="https://www.spotrac.com/redirect/team/123/cap/2015" xr:uid="{4F2BA841-364A-9042-90B9-FF41354E9697}"/>
    <hyperlink ref="B374" r:id="rId319" display="https://www.spotrac.com/redirect/team/55/cap/2015" xr:uid="{7E6ECB83-8C02-2546-B052-1248ED845A40}"/>
    <hyperlink ref="B154" r:id="rId320" display="https://www.spotrac.com/redirect/team/58/cap/2015" xr:uid="{C1303133-F3CE-FE47-B6B1-6C31E48DA162}"/>
    <hyperlink ref="B124" r:id="rId321" display="https://www.spotrac.com/redirect/team/52/cap/2015" xr:uid="{969E8975-DC42-4A4D-A1EC-A9EA0FC4910F}"/>
    <hyperlink ref="B185" r:id="rId322" display="https://www.spotrac.com/redirect/team/53/cap/2015" xr:uid="{50793AAA-E92B-144D-A642-6E916B10B184}"/>
    <hyperlink ref="B259" r:id="rId323" display="https://www.spotrac.com/redirect/team/54/cap/2015" xr:uid="{0D9CC8D8-9FCF-9F4E-801C-B9FBC87EDE81}"/>
    <hyperlink ref="B35" r:id="rId324" display="https://www.spotrac.com/redirect/team/46/cap/2015" xr:uid="{5E645658-EB53-0C42-A1B9-3C69DF146010}"/>
    <hyperlink ref="B359" r:id="rId325" display="https://www.spotrac.com/redirect/team/49/cap/2015" xr:uid="{807868F2-26F4-2E4E-AEE8-4316CB780E49}"/>
    <hyperlink ref="B449" r:id="rId326" display="https://www.spotrac.com/redirect/team/35/cap/2015" xr:uid="{7597D6EC-5743-4C41-BAE3-7740DF5DF2D7}"/>
    <hyperlink ref="B139" r:id="rId327" display="https://www.spotrac.com/redirect/team/38/cap/2015" xr:uid="{AE41D8BD-79E9-C745-9807-CEE6E2DE1E5C}"/>
    <hyperlink ref="B19" r:id="rId328" display="https://www.spotrac.com/redirect/team/57/cap/2015" xr:uid="{3F38982D-9B36-2342-8D9E-5145C06412A4}"/>
    <hyperlink ref="B344" r:id="rId329" display="https://www.spotrac.com/redirect/team/43/cap/2015" xr:uid="{860081E6-4143-5247-8E0A-031564BA6761}"/>
    <hyperlink ref="B245" r:id="rId330" display="https://www.spotrac.com/redirect/team/129/cap/2015" xr:uid="{D8F8466F-F36B-624A-9D67-4396045A6707}"/>
    <hyperlink ref="B231" r:id="rId331" display="https://www.spotrac.com/redirect/team/59/cap/2014" xr:uid="{B4F90937-309B-4D4B-9C01-81C366949C87}"/>
    <hyperlink ref="B331" r:id="rId332" display="https://www.spotrac.com/redirect/team/34/cap/2014" xr:uid="{311346CD-4949-2D4F-9F04-882D1A59499A}"/>
    <hyperlink ref="B420" r:id="rId333" display="https://www.spotrac.com/redirect/team/61/cap/2014" xr:uid="{42BEF6EB-886E-504F-9473-BF9CD33E3B8C}"/>
    <hyperlink ref="B170" r:id="rId334" display="https://www.spotrac.com/redirect/team/39/cap/2014" xr:uid="{59084272-0DD9-584F-A14B-D029D2431B08}"/>
    <hyperlink ref="B360" r:id="rId335" display="https://www.spotrac.com/redirect/team/49/cap/2014" xr:uid="{6F029AA3-73EC-5540-A225-B9C7550C6DA6}"/>
    <hyperlink ref="B495" r:id="rId336" display="https://www.spotrac.com/redirect/team/50/cap/2014" xr:uid="{EBEBC343-D93F-DA40-9E7C-79D7E58A0813}"/>
    <hyperlink ref="B216" r:id="rId337" display="https://www.spotrac.com/redirect/team/42/cap/2014" xr:uid="{92411A27-1566-FF44-8A58-553A8D493316}"/>
    <hyperlink ref="B465" r:id="rId338" display="https://www.spotrac.com/redirect/team/45/cap/2014" xr:uid="{57E740CE-48F5-2745-B183-F737AD7F2699}"/>
    <hyperlink ref="B480" r:id="rId339" display="https://www.spotrac.com/redirect/team/36/cap/2014" xr:uid="{A89F1269-38E4-C14E-833C-94F1E96638B4}"/>
    <hyperlink ref="B435" r:id="rId340" display="https://www.spotrac.com/redirect/team/56/cap/2014" xr:uid="{4421DDF7-139E-214B-8295-D300CDF1C389}"/>
    <hyperlink ref="B51" r:id="rId341" display="https://www.spotrac.com/redirect/team/32/cap/2014" xr:uid="{EE3C1027-BB91-F649-AA8A-3F3535732284}"/>
    <hyperlink ref="B260" r:id="rId342" display="https://www.spotrac.com/redirect/team/54/cap/2014" xr:uid="{596FCC6F-CAF2-BF4F-A69B-E97C2E2F5F30}"/>
    <hyperlink ref="B36" r:id="rId343" display="https://www.spotrac.com/redirect/team/46/cap/2014" xr:uid="{9DCDC198-1BE7-2644-9E56-C29568BE6E8A}"/>
    <hyperlink ref="B405" r:id="rId344" display="https://www.spotrac.com/redirect/team/44/cap/2014" xr:uid="{77FBAC93-1ABC-5E47-8652-1E1C4E5C2CF0}"/>
    <hyperlink ref="B125" r:id="rId345" display="https://www.spotrac.com/redirect/team/52/cap/2014" xr:uid="{23A0E6C9-3FE1-E24B-A91F-22A97CD8D9F6}"/>
    <hyperlink ref="B155" r:id="rId346" display="https://www.spotrac.com/redirect/team/58/cap/2014" xr:uid="{5EE760CA-E336-4F48-9056-1EA6B7AC2D3D}"/>
    <hyperlink ref="B66" r:id="rId347" display="https://www.spotrac.com/redirect/team/33/cap/2014" xr:uid="{A4563B39-C50B-B446-9CA4-DE909F5A2D43}"/>
    <hyperlink ref="B201" r:id="rId348" display="https://www.spotrac.com/redirect/team/40/cap/2014" xr:uid="{E65F62DC-50A9-C34A-9128-9C0C147F7313}"/>
    <hyperlink ref="B316" r:id="rId349" display="https://www.spotrac.com/redirect/team/48/cap/2014" xr:uid="{3066B22A-7BA9-3145-A7B3-395E4D133FAD}"/>
    <hyperlink ref="B275" r:id="rId350" display="https://www.spotrac.com/redirect/team/41/cap/2014" xr:uid="{29E58D20-EEFE-8B4A-B271-7DDE98CFA2EB}"/>
    <hyperlink ref="B450" r:id="rId351" display="https://www.spotrac.com/redirect/team/35/cap/2014" xr:uid="{5B5BFFC4-19F6-6743-8AA2-39D9C08BFB4A}"/>
    <hyperlink ref="B375" r:id="rId352" display="https://www.spotrac.com/redirect/team/55/cap/2014" xr:uid="{834C763F-2F94-2245-8153-9E00D404979B}"/>
    <hyperlink ref="B20" r:id="rId353" display="https://www.spotrac.com/redirect/team/57/cap/2014" xr:uid="{B39BC1F3-4E7F-D648-9F3F-19FA82054090}"/>
    <hyperlink ref="B390" r:id="rId354" display="https://www.spotrac.com/redirect/team/123/cap/2014" xr:uid="{DFC44C44-990F-564C-84A2-BB524D6DC45D}"/>
    <hyperlink ref="B345" r:id="rId355" display="https://www.spotrac.com/redirect/team/43/cap/2014" xr:uid="{0D1214A1-D5B5-3F42-855A-258B76AE366C}"/>
    <hyperlink ref="B140" r:id="rId356" display="https://www.spotrac.com/redirect/team/38/cap/2014" xr:uid="{FAF234C0-3884-EC4A-9408-C77DF8C2B9A2}"/>
    <hyperlink ref="B110" r:id="rId357" display="https://www.spotrac.com/redirect/team/37/cap/2014" xr:uid="{619BA6A3-4117-0E40-8F9D-EA0D854A1C47}"/>
    <hyperlink ref="B81" r:id="rId358" display="https://www.spotrac.com/redirect/team/51/cap/2014" xr:uid="{F194C169-24D1-3A41-B473-B1D92A11969A}"/>
    <hyperlink ref="B186" r:id="rId359" display="https://www.spotrac.com/redirect/team/53/cap/2014" xr:uid="{E5DC80A1-DF8E-F346-B158-F8A94F2213AC}"/>
    <hyperlink ref="B246" r:id="rId360" display="https://www.spotrac.com/redirect/team/129/cap/2014" xr:uid="{CB99A3FC-A02F-4242-AB96-95DE6FF517D6}"/>
    <hyperlink ref="B332" r:id="rId361" display="https://www.spotrac.com/redirect/team/34/cap/2013" xr:uid="{9A284245-6C0E-E441-83FB-8D42CE361905}"/>
    <hyperlink ref="B232" r:id="rId362" display="https://www.spotrac.com/redirect/team/59/cap/2013" xr:uid="{B5519B5D-D976-7145-8172-045B5A96326A}"/>
    <hyperlink ref="B67" r:id="rId363" display="https://www.spotrac.com/redirect/team/33/cap/2013" xr:uid="{C2F2A456-8239-824F-AECA-146D1D0DA8F7}"/>
    <hyperlink ref="B361" r:id="rId364" display="https://www.spotrac.com/redirect/team/49/cap/2013" xr:uid="{2DE55D7F-2787-534F-BF08-79057E62E0A9}"/>
    <hyperlink ref="B171" r:id="rId365" display="https://www.spotrac.com/redirect/team/39/cap/2013" xr:uid="{F399720A-51FC-A24D-B615-76DB84A0CAEB}"/>
    <hyperlink ref="B421" r:id="rId366" display="https://www.spotrac.com/redirect/team/61/cap/2013" xr:uid="{F17DAECA-0C34-ED40-A63D-EB6EBB63C903}"/>
    <hyperlink ref="B466" r:id="rId367" display="https://www.spotrac.com/redirect/team/45/cap/2013" xr:uid="{1EED9C4D-0ABD-1C40-9E5C-FF389E47CEA4}"/>
    <hyperlink ref="B481" r:id="rId368" display="https://www.spotrac.com/redirect/team/36/cap/2013" xr:uid="{DB4C2F50-4296-B34C-93EC-466CE5075913}"/>
    <hyperlink ref="B217" r:id="rId369" display="https://www.spotrac.com/redirect/team/42/cap/2013" xr:uid="{9DDD55A5-A348-0C42-AB1D-F75F355F1E97}"/>
    <hyperlink ref="B436" r:id="rId370" display="https://www.spotrac.com/redirect/team/56/cap/2013" xr:uid="{F8F27D4D-F7AC-ED47-AE88-AC91EF2A6DAD}"/>
    <hyperlink ref="B496" r:id="rId371" display="https://www.spotrac.com/redirect/team/50/cap/2013" xr:uid="{00906CDB-C965-1A4E-880C-4D31315455F1}"/>
    <hyperlink ref="B52" r:id="rId372" display="https://www.spotrac.com/redirect/team/32/cap/2013" xr:uid="{8D26B534-B720-6146-B26A-3DD78C5B00D7}"/>
    <hyperlink ref="B126" r:id="rId373" display="https://www.spotrac.com/redirect/team/52/cap/2013" xr:uid="{EC197BC5-894D-DE40-8448-DDB593E1C4B7}"/>
    <hyperlink ref="B37" r:id="rId374" display="https://www.spotrac.com/redirect/team/46/cap/2013" xr:uid="{A9F13C90-494B-7F4E-82D2-53BFFB6CA07A}"/>
    <hyperlink ref="B111" r:id="rId375" display="https://www.spotrac.com/redirect/team/37/cap/2013" xr:uid="{2A4D6048-77A0-DF4E-894D-62E5984622A6}"/>
    <hyperlink ref="B141" r:id="rId376" display="https://www.spotrac.com/redirect/team/38/cap/2013" xr:uid="{ADDC13ED-B429-B041-A4A7-70E3A48A80F5}"/>
    <hyperlink ref="B21" r:id="rId377" display="https://www.spotrac.com/redirect/team/57/cap/2013" xr:uid="{133AFD71-7AC7-AA47-A027-DDF3E238D9AC}"/>
    <hyperlink ref="B202" r:id="rId378" display="https://www.spotrac.com/redirect/team/40/cap/2013" xr:uid="{4E56EFEF-3EBD-A740-965A-0099F24836C9}"/>
    <hyperlink ref="B156" r:id="rId379" display="https://www.spotrac.com/redirect/team/58/cap/2013" xr:uid="{AF284693-32E2-0746-995E-8971A4926C3A}"/>
    <hyperlink ref="B317" r:id="rId380" display="https://www.spotrac.com/redirect/team/48/cap/2013" xr:uid="{633345ED-B300-8D45-A88E-F01A8C875333}"/>
    <hyperlink ref="B261" r:id="rId381" display="https://www.spotrac.com/redirect/team/54/cap/2013" xr:uid="{3BB7D53A-20F7-FE40-A1FB-3398B2570392}"/>
    <hyperlink ref="B451" r:id="rId382" display="https://www.spotrac.com/redirect/team/35/cap/2013" xr:uid="{8982235C-8E43-5942-8986-0E434D5B01DE}"/>
    <hyperlink ref="B376" r:id="rId383" display="https://www.spotrac.com/redirect/team/55/cap/2013" xr:uid="{C24BE2B8-27B6-AA4B-A3F0-88DF0E38B1A3}"/>
    <hyperlink ref="B346" r:id="rId384" display="https://www.spotrac.com/redirect/team/43/cap/2013" xr:uid="{515AA368-67AD-CB4F-B5CB-ABD5483DE0CB}"/>
    <hyperlink ref="B391" r:id="rId385" display="https://www.spotrac.com/redirect/team/123/cap/2013" xr:uid="{439A393A-0436-7641-924A-72B9D9FA264E}"/>
    <hyperlink ref="B406" r:id="rId386" display="https://www.spotrac.com/redirect/team/44/cap/2013" xr:uid="{45CB6029-6540-1A41-A064-0428CD0DDD16}"/>
    <hyperlink ref="B276" r:id="rId387" display="https://www.spotrac.com/redirect/team/41/cap/2013" xr:uid="{0B3731B8-4353-E542-8072-4A88F00C3B8D}"/>
    <hyperlink ref="B82" r:id="rId388" display="https://www.spotrac.com/redirect/team/51/cap/2013" xr:uid="{7F89B723-91D3-7F45-A4C3-D6CC91A31D7C}"/>
    <hyperlink ref="B247" r:id="rId389" display="https://www.spotrac.com/redirect/team/129/cap/2013" xr:uid="{9F183DC3-21C8-E942-8863-46C326C9EF88}"/>
    <hyperlink ref="B187" r:id="rId390" display="https://www.spotrac.com/redirect/team/53/cap/2013" xr:uid="{C49742A3-3F0A-A440-8382-4081F60EA4E7}"/>
    <hyperlink ref="B333" r:id="rId391" display="https://www.spotrac.com/redirect/team/34/cap/2012" xr:uid="{B4C2B29C-6099-3444-827E-1F121F2C02A2}"/>
    <hyperlink ref="B362" r:id="rId392" display="https://www.spotrac.com/redirect/team/49/cap/2012" xr:uid="{CFFF2F14-EA96-FC47-B4FD-48429813D6C7}"/>
    <hyperlink ref="B68" r:id="rId393" display="https://www.spotrac.com/redirect/team/33/cap/2012" xr:uid="{A030CEAC-D63C-704D-89E8-6B8E23EC0231}"/>
    <hyperlink ref="B218" r:id="rId394" display="https://www.spotrac.com/redirect/team/42/cap/2012" xr:uid="{178088FC-9307-CF4F-B4AA-96FE64E42290}"/>
    <hyperlink ref="B172" r:id="rId395" display="https://www.spotrac.com/redirect/team/39/cap/2012" xr:uid="{8393A6C9-3A1D-4E4D-B6C2-C91DD2269749}"/>
    <hyperlink ref="B467" r:id="rId396" display="https://www.spotrac.com/redirect/team/45/cap/2012" xr:uid="{870EDDA2-4BDB-3941-B8AE-BDB3A8878F4C}"/>
    <hyperlink ref="B422" r:id="rId397" display="https://www.spotrac.com/redirect/team/61/cap/2012" xr:uid="{DF4C1745-4806-5945-9B0D-2AF61023804D}"/>
    <hyperlink ref="B437" r:id="rId398" display="https://www.spotrac.com/redirect/team/56/cap/2012" xr:uid="{63F94F60-85F1-EB47-849C-BE2A55A7E6FF}"/>
    <hyperlink ref="B233" r:id="rId399" display="https://www.spotrac.com/redirect/team/59/cap/2012" xr:uid="{3E8C0419-F85C-3A4B-B4E7-B6E61DDE670F}"/>
    <hyperlink ref="B262" r:id="rId400" display="https://www.spotrac.com/redirect/team/54/cap/2012" xr:uid="{5BDF96E6-5B71-5C48-AC2E-1C92C40694DE}"/>
    <hyperlink ref="B112" r:id="rId401" display="https://www.spotrac.com/redirect/team/37/cap/2012" xr:uid="{0889F873-C1DF-9F4E-9D8B-C576D25FC458}"/>
    <hyperlink ref="B277" r:id="rId402" display="https://www.spotrac.com/redirect/team/41/cap/2012" xr:uid="{BCE30BE9-3D0C-F04E-9CA9-370736726515}"/>
    <hyperlink ref="B318" r:id="rId403" display="https://www.spotrac.com/redirect/team/48/cap/2012" xr:uid="{859116E2-54B4-AC46-8D5F-9ED336690D1E}"/>
    <hyperlink ref="B497" r:id="rId404" display="https://www.spotrac.com/redirect/team/50/cap/2012" xr:uid="{96908224-C5C5-F34C-AB77-31368361B8FC}"/>
    <hyperlink ref="B482" r:id="rId405" display="https://www.spotrac.com/redirect/team/36/cap/2012" xr:uid="{C0F7593A-0C49-DF46-B776-993AFBEA0DF3}"/>
    <hyperlink ref="B127" r:id="rId406" display="https://www.spotrac.com/redirect/team/52/cap/2012" xr:uid="{E3961C75-FBA8-024D-86D8-874FA83A372A}"/>
    <hyperlink ref="B38" r:id="rId407" display="https://www.spotrac.com/redirect/team/46/cap/2012" xr:uid="{2BBA58F7-8B1D-E548-95B2-3D16DECF9B99}"/>
    <hyperlink ref="B83" r:id="rId408" display="https://www.spotrac.com/redirect/team/51/cap/2012" xr:uid="{2AFB0EE2-1A9A-ED4A-9B20-77CAD0361B85}"/>
    <hyperlink ref="B248" r:id="rId409" display="https://www.spotrac.com/redirect/team/129/cap/2012" xr:uid="{F297BC34-C79C-BF4A-9656-3F71D9300C44}"/>
    <hyperlink ref="B53" r:id="rId410" display="https://www.spotrac.com/redirect/team/32/cap/2012" xr:uid="{BD01DE25-733D-9040-A9C9-A3A92BEECCEC}"/>
    <hyperlink ref="B157" r:id="rId411" display="https://www.spotrac.com/redirect/team/58/cap/2012" xr:uid="{DF06F4AF-EAF8-DA46-9D8C-EAF7C21B227D}"/>
    <hyperlink ref="B22" r:id="rId412" display="https://www.spotrac.com/redirect/team/57/cap/2012" xr:uid="{8A11DE14-7119-D54E-A585-9EA88F2A6150}"/>
    <hyperlink ref="B407" r:id="rId413" display="https://www.spotrac.com/redirect/team/44/cap/2012" xr:uid="{967F45ED-379C-4841-9768-4AD7BA0C547A}"/>
    <hyperlink ref="B142" r:id="rId414" display="https://www.spotrac.com/redirect/team/38/cap/2012" xr:uid="{9E232A06-E65F-FF40-BD38-41F90A393EE8}"/>
    <hyperlink ref="B452" r:id="rId415" display="https://www.spotrac.com/redirect/team/35/cap/2012" xr:uid="{F6BE9D84-6AB8-024D-9AB2-A2C06B4C21E4}"/>
    <hyperlink ref="B203" r:id="rId416" display="https://www.spotrac.com/redirect/team/40/cap/2012" xr:uid="{372A51B8-E3F2-1E42-AC43-6946E9432715}"/>
    <hyperlink ref="B392" r:id="rId417" display="https://www.spotrac.com/redirect/team/123/cap/2012" xr:uid="{F901200C-4187-2745-A112-2EE89C3A37E2}"/>
    <hyperlink ref="B377" r:id="rId418" display="https://www.spotrac.com/redirect/team/55/cap/2012" xr:uid="{43FDBFF0-2DF6-EB41-971A-C7E6AF803E9C}"/>
    <hyperlink ref="B347" r:id="rId419" display="https://www.spotrac.com/redirect/team/43/cap/2012" xr:uid="{9C967205-5E32-C649-863A-25A0F622B951}"/>
    <hyperlink ref="B188" r:id="rId420" display="https://www.spotrac.com/redirect/team/53/cap/2012" xr:uid="{23AA11E7-84DD-D94A-8CF8-22A392667F16}"/>
    <hyperlink ref="B334" r:id="rId421" display="https://www.spotrac.com/redirect/team/34/cap/2011" xr:uid="{01672EE5-0AC5-D547-810E-A6FBC6686E3E}"/>
    <hyperlink ref="B363" r:id="rId422" display="https://www.spotrac.com/redirect/team/49/cap/2011" xr:uid="{EF5769B6-A1C2-EE4F-BAE9-11AC0CF00BE5}"/>
    <hyperlink ref="B69" r:id="rId423" display="https://www.spotrac.com/redirect/team/33/cap/2011" xr:uid="{F4A78B81-5DE0-1D42-A883-D0181373117D}"/>
    <hyperlink ref="B219" r:id="rId424" display="https://www.spotrac.com/redirect/team/42/cap/2011" xr:uid="{F7599EB2-72D5-BC42-B667-2F5EBE1CF8FF}"/>
    <hyperlink ref="B423" r:id="rId425" display="https://www.spotrac.com/redirect/team/61/cap/2011" xr:uid="{EF2D133D-487A-424E-9FA3-07BFCF613C4C}"/>
    <hyperlink ref="B84" r:id="rId426" display="https://www.spotrac.com/redirect/team/51/cap/2011" xr:uid="{C9130C45-2CB1-9E4C-9277-888D3D2B46A2}"/>
    <hyperlink ref="B438" r:id="rId427" display="https://www.spotrac.com/redirect/team/56/cap/2011" xr:uid="{83098E11-A858-E64D-8B63-A6D53CF8B775}"/>
    <hyperlink ref="B113" r:id="rId428" display="https://www.spotrac.com/redirect/team/37/cap/2011" xr:uid="{917D0134-6B54-D947-A6C2-204CA4F88460}"/>
    <hyperlink ref="B173" r:id="rId429" display="https://www.spotrac.com/redirect/team/39/cap/2011" xr:uid="{744E7575-A88F-8B46-92C4-3252DEF19964}"/>
    <hyperlink ref="B278" r:id="rId430" display="https://www.spotrac.com/redirect/team/41/cap/2011" xr:uid="{C66FAE0F-2EF1-3145-8B4E-40478BF6D39D}"/>
    <hyperlink ref="B468" r:id="rId431" display="https://www.spotrac.com/redirect/team/45/cap/2011" xr:uid="{DB71CD69-85A4-1E4D-A6CB-C090F448198E}"/>
    <hyperlink ref="B234" r:id="rId432" display="https://www.spotrac.com/redirect/team/59/cap/2011" xr:uid="{73B2B5C3-AE81-244E-8B48-FC97BC9ECBB3}"/>
    <hyperlink ref="B39" r:id="rId433" display="https://www.spotrac.com/redirect/team/46/cap/2011" xr:uid="{F8C520BB-7F41-8144-BF8D-80D6D66F7ECC}"/>
    <hyperlink ref="B319" r:id="rId434" display="https://www.spotrac.com/redirect/team/48/cap/2011" xr:uid="{9A45857F-252F-7946-B9AA-2247790330BD}"/>
    <hyperlink ref="B263" r:id="rId435" display="https://www.spotrac.com/redirect/team/54/cap/2011" xr:uid="{B14A0525-BB39-8F46-87DF-ACDFBD8143F8}"/>
    <hyperlink ref="B54" r:id="rId436" display="https://www.spotrac.com/redirect/team/32/cap/2011" xr:uid="{FEF52814-81C6-5144-B4F0-611C55CDA4F3}"/>
    <hyperlink ref="B408" r:id="rId437" display="https://www.spotrac.com/redirect/team/44/cap/2011" xr:uid="{83762D0C-054D-A34B-B850-4FC53204C8DF}"/>
    <hyperlink ref="B128" r:id="rId438" display="https://www.spotrac.com/redirect/team/52/cap/2011" xr:uid="{DFD7F6C0-D68F-1C46-A08A-FB76CFFC8BE1}"/>
    <hyperlink ref="B158" r:id="rId439" display="https://www.spotrac.com/redirect/team/58/cap/2011" xr:uid="{E8D37842-9ABB-814F-BDCC-2B76D016AE87}"/>
    <hyperlink ref="B189" r:id="rId440" display="https://www.spotrac.com/redirect/team/53/cap/2011" xr:uid="{A651DB25-A7E3-374C-8018-47C8395EA30F}"/>
    <hyperlink ref="B498" r:id="rId441" display="https://www.spotrac.com/redirect/team/50/cap/2011" xr:uid="{AEEECAA7-EDFB-1F4F-BC21-B505C4DE25B9}"/>
    <hyperlink ref="B348" r:id="rId442" display="https://www.spotrac.com/redirect/team/43/cap/2011" xr:uid="{14A973BE-930F-6F46-9D47-8CE741E979A8}"/>
    <hyperlink ref="B174" r:id="rId443" display="https://www.spotrac.com/redirect/team/47/cap/2011" xr:uid="{D1B78A3B-1FB8-3840-95A2-BAF699378E8D}"/>
    <hyperlink ref="B23" r:id="rId444" display="https://www.spotrac.com/redirect/team/57/cap/2011" xr:uid="{19BD89CA-2F62-4D46-8A43-D9936BD8B97C}"/>
    <hyperlink ref="B483" r:id="rId445" display="https://www.spotrac.com/redirect/team/36/cap/2011" xr:uid="{35BAE3A2-6086-5940-B10A-0715CDFA6AC6}"/>
    <hyperlink ref="B143" r:id="rId446" display="https://www.spotrac.com/redirect/team/38/cap/2011" xr:uid="{431E7F7A-1FD5-754C-9291-FB5E00D13233}"/>
    <hyperlink ref="B393" r:id="rId447" display="https://www.spotrac.com/redirect/team/123/cap/2011" xr:uid="{33B7EB1E-3A80-CC43-BAC0-5CE81BC2DC24}"/>
    <hyperlink ref="B453" r:id="rId448" display="https://www.spotrac.com/redirect/team/35/cap/2011" xr:uid="{8695E7E4-CDC3-A84A-91CD-F315CD2FB8B0}"/>
    <hyperlink ref="B378" r:id="rId449" display="https://www.spotrac.com/redirect/team/55/cap/2011" xr:uid="{7E4E9995-050C-F541-8547-7619BDD18FA3}"/>
    <hyperlink ref="B204" r:id="rId450" display="https://www.spotrac.com/redirect/team/40/cap/2011" xr:uid="{A7B1A467-E941-A74A-9C79-0E749D420E10}"/>
    <hyperlink ref="A279" r:id="rId451" display="https://www.spotrac.com/redirect/team/57/cap/2025" xr:uid="{0803FA7A-D781-9449-9526-D3854ED6913E}"/>
    <hyperlink ref="A287" r:id="rId452" display="https://www.spotrac.com/redirect/team/1043/cap/2025" xr:uid="{CDB171F2-3CFD-2A43-A051-82335FBB7D2F}"/>
    <hyperlink ref="A90" r:id="rId453" display="https://www.spotrac.com/redirect/team/46/cap/2025" xr:uid="{C8AE7021-E105-0B45-8244-219CBCCCEFE6}"/>
    <hyperlink ref="A283" r:id="rId454" display="https://www.spotrac.com/redirect/team/32/cap/2025" xr:uid="{1E77C13B-5B71-2041-BFA6-D4A286017705}"/>
    <hyperlink ref="A4" r:id="rId455" display="https://www.spotrac.com/redirect/team/33/cap/2025" xr:uid="{01D29BFB-878D-F040-9443-B261F0960D8C}"/>
    <hyperlink ref="A86" r:id="rId456" display="https://www.spotrac.com/redirect/team/51/cap/2025" xr:uid="{3D1F131B-5CCC-A24F-B5F9-80F9E08EF266}"/>
    <hyperlink ref="A97" r:id="rId457" display="https://www.spotrac.com/redirect/team/37/cap/2025" xr:uid="{8FCD1F5C-2526-144E-B557-49262C54ED72}"/>
    <hyperlink ref="A282" r:id="rId458" display="https://www.spotrac.com/redirect/team/52/cap/2025" xr:uid="{976A60CE-2679-1347-9FE7-3D004C1990C0}"/>
    <hyperlink ref="A284" r:id="rId459" display="https://www.spotrac.com/redirect/team/969/cap/2025" xr:uid="{AA6F3668-1823-D244-A1F8-3F1BCC539C3D}"/>
    <hyperlink ref="A96" r:id="rId460" display="https://www.spotrac.com/redirect/team/58/cap/2025" xr:uid="{7361CC19-D16A-274D-827F-0E035EE9B606}"/>
    <hyperlink ref="A92" r:id="rId461" display="https://www.spotrac.com/redirect/team/39/cap/2025" xr:uid="{D90CB6C0-2C79-6843-8BBE-F3BF70C0DA9F}"/>
    <hyperlink ref="A285" r:id="rId462" display="https://www.spotrac.com/redirect/team/47/cap/2011" xr:uid="{28088A03-019F-E345-9507-2C03C4C16709}"/>
    <hyperlink ref="A91" r:id="rId463" display="https://www.spotrac.com/redirect/team/53/cap/2025" xr:uid="{4E4C28D0-55FC-8047-B086-690B1DD70F73}"/>
    <hyperlink ref="A281" r:id="rId464" display="https://www.spotrac.com/redirect/team/40/cap/2025" xr:uid="{68A200FD-59A7-C34F-AE7A-16F7860EFC55}"/>
    <hyperlink ref="A85" r:id="rId465" display="https://www.spotrac.com/redirect/team/42/cap/2025" xr:uid="{05606E23-F7FC-D546-8079-21F482A0716C}"/>
    <hyperlink ref="A2" r:id="rId466" display="https://www.spotrac.com/redirect/team/59/cap/2025" xr:uid="{F6C5D6AF-2AB2-5F4E-95A2-04519B5E3EA0}"/>
    <hyperlink ref="A280" r:id="rId467" display="https://www.spotrac.com/redirect/team/54/cap/2025" xr:uid="{64B4B758-24CE-9241-AF29-4A8FC08EC3CC}"/>
    <hyperlink ref="A98" r:id="rId468" display="https://www.spotrac.com/redirect/team/41/cap/2025" xr:uid="{8EBE871A-4E62-6A4E-8543-877420B56DA8}"/>
    <hyperlink ref="A5" r:id="rId469" display="https://www.spotrac.com/redirect/team/48/cap/2025" xr:uid="{6A5B6B9D-5154-BE44-87AD-16518FBE828A}"/>
    <hyperlink ref="A3" r:id="rId470" display="https://www.spotrac.com/redirect/team/34/cap/2022" xr:uid="{70BD5058-7C39-F045-A497-3F1711535620}"/>
    <hyperlink ref="A6" r:id="rId471" display="https://www.spotrac.com/redirect/team/49/cap/2025" xr:uid="{1F826E51-43D7-0A44-A740-1F834F10ACA2}"/>
    <hyperlink ref="A286" r:id="rId472" display="https://www.spotrac.com/redirect/team/55/cap/2025" xr:uid="{1929C4A3-6F10-654F-862C-FC3BEF8D3B86}"/>
    <hyperlink ref="A94" r:id="rId473" display="https://www.spotrac.com/redirect/team/123/cap/2025" xr:uid="{9EED33D2-2A7D-314A-B426-BF8869D48352}"/>
    <hyperlink ref="A95" r:id="rId474" display="https://www.spotrac.com/redirect/team/44/cap/2025" xr:uid="{643CD5D2-543B-2C43-9683-E5D53DCB9868}"/>
    <hyperlink ref="A7" r:id="rId475" display="https://www.spotrac.com/redirect/team/61/cap/2025" xr:uid="{19192758-1F86-754B-A347-0897EEC85AAB}"/>
    <hyperlink ref="A89" r:id="rId476" display="https://www.spotrac.com/redirect/team/56/cap/2025" xr:uid="{D4576D8D-8FEC-8845-8397-7CA612926621}"/>
    <hyperlink ref="A288" r:id="rId477" display="https://www.spotrac.com/redirect/team/35/cap/2024" xr:uid="{C77B955D-BF40-FB43-8B00-54BAA3181D03}"/>
    <hyperlink ref="A87" r:id="rId478" display="https://www.spotrac.com/redirect/team/45/cap/2025" xr:uid="{FB3B4F06-F8E8-CC42-A313-E43327F7E41E}"/>
    <hyperlink ref="A88" r:id="rId479" display="https://www.spotrac.com/redirect/team/36/cap/2024" xr:uid="{64A0D804-8C7A-8445-BB86-AD07194E2E03}"/>
    <hyperlink ref="A93" r:id="rId480" display="https://www.spotrac.com/redirect/team/50/cap/2022" xr:uid="{010F809F-273E-3C44-A357-E8841E6314DA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C3142-94A7-0C4F-AC6E-C9D86DC4D68D}">
  <dimension ref="A2:AD32"/>
  <sheetViews>
    <sheetView topLeftCell="C9" workbookViewId="0">
      <selection activeCell="AF31" sqref="AF31"/>
    </sheetView>
  </sheetViews>
  <sheetFormatPr baseColWidth="10" defaultRowHeight="16" x14ac:dyDescent="0.2"/>
  <cols>
    <col min="1" max="2" width="0" hidden="1" customWidth="1"/>
    <col min="8" max="30" width="0" hidden="1" customWidth="1"/>
  </cols>
  <sheetData>
    <row r="2" spans="1:30" ht="18" x14ac:dyDescent="0.2">
      <c r="C2" s="21" t="s">
        <v>122</v>
      </c>
      <c r="D2" s="21" t="s">
        <v>123</v>
      </c>
      <c r="E2" s="21" t="s">
        <v>124</v>
      </c>
      <c r="F2" s="21" t="s">
        <v>125</v>
      </c>
      <c r="G2" s="21" t="s">
        <v>126</v>
      </c>
      <c r="H2" s="21" t="s">
        <v>127</v>
      </c>
      <c r="I2" s="21" t="s">
        <v>128</v>
      </c>
      <c r="J2" s="21" t="s">
        <v>129</v>
      </c>
      <c r="K2" s="21" t="s">
        <v>130</v>
      </c>
      <c r="L2" s="21" t="s">
        <v>131</v>
      </c>
      <c r="M2" s="21" t="s">
        <v>132</v>
      </c>
      <c r="N2" s="21" t="s">
        <v>133</v>
      </c>
      <c r="O2" s="21" t="s">
        <v>134</v>
      </c>
      <c r="P2" s="21" t="s">
        <v>135</v>
      </c>
      <c r="Q2" s="21" t="s">
        <v>136</v>
      </c>
      <c r="R2" s="21" t="s">
        <v>137</v>
      </c>
      <c r="S2" s="21" t="s">
        <v>138</v>
      </c>
      <c r="T2" s="21" t="s">
        <v>139</v>
      </c>
      <c r="U2" s="21" t="s">
        <v>140</v>
      </c>
      <c r="V2" s="21" t="s">
        <v>141</v>
      </c>
      <c r="W2" s="21" t="s">
        <v>142</v>
      </c>
      <c r="X2" s="21" t="s">
        <v>143</v>
      </c>
      <c r="Y2" s="21" t="s">
        <v>144</v>
      </c>
      <c r="Z2" s="21" t="s">
        <v>145</v>
      </c>
      <c r="AA2" s="21" t="s">
        <v>146</v>
      </c>
      <c r="AB2" s="21" t="s">
        <v>147</v>
      </c>
      <c r="AC2" s="21" t="s">
        <v>148</v>
      </c>
      <c r="AD2" s="21" t="s">
        <v>149</v>
      </c>
    </row>
    <row r="3" spans="1:30" ht="23" x14ac:dyDescent="0.25">
      <c r="A3" s="17"/>
      <c r="B3" s="18"/>
      <c r="C3" s="2" t="s">
        <v>201</v>
      </c>
      <c r="D3" s="19">
        <v>13</v>
      </c>
      <c r="E3" s="19">
        <v>13</v>
      </c>
      <c r="F3" s="19">
        <v>0.5</v>
      </c>
      <c r="G3" s="19">
        <v>26</v>
      </c>
      <c r="H3" s="19">
        <v>886</v>
      </c>
      <c r="I3" s="19">
        <v>120</v>
      </c>
      <c r="J3" s="19">
        <v>229</v>
      </c>
      <c r="K3" s="19">
        <v>32</v>
      </c>
      <c r="L3" s="19">
        <v>6</v>
      </c>
      <c r="M3" s="19">
        <v>40</v>
      </c>
      <c r="N3" s="19">
        <v>118</v>
      </c>
      <c r="O3" s="19">
        <v>84</v>
      </c>
      <c r="P3" s="19">
        <v>5</v>
      </c>
      <c r="Q3" s="19">
        <v>245</v>
      </c>
      <c r="R3" s="19">
        <v>29</v>
      </c>
      <c r="S3" s="19">
        <v>5</v>
      </c>
      <c r="T3" s="19">
        <v>991</v>
      </c>
      <c r="U3" s="19">
        <v>393</v>
      </c>
      <c r="V3" s="19">
        <v>78</v>
      </c>
      <c r="W3" s="19">
        <v>10</v>
      </c>
      <c r="X3" s="19">
        <v>6</v>
      </c>
      <c r="Y3" s="19">
        <v>6</v>
      </c>
      <c r="Z3" s="19">
        <v>17</v>
      </c>
      <c r="AA3" s="19">
        <v>0.25800000000000001</v>
      </c>
      <c r="AB3" s="19">
        <v>0.32400000000000001</v>
      </c>
      <c r="AC3" s="19">
        <v>0.44400000000000001</v>
      </c>
      <c r="AD3" s="19">
        <v>0.76800000000000002</v>
      </c>
    </row>
    <row r="4" spans="1:30" ht="23" x14ac:dyDescent="0.25">
      <c r="A4" s="17"/>
      <c r="B4" s="18"/>
      <c r="C4" s="2" t="s">
        <v>203</v>
      </c>
      <c r="D4" s="19">
        <v>7</v>
      </c>
      <c r="E4" s="19">
        <v>13</v>
      </c>
      <c r="F4" s="19">
        <v>0.35</v>
      </c>
      <c r="G4" s="19">
        <v>20</v>
      </c>
      <c r="H4" s="19">
        <v>661</v>
      </c>
      <c r="I4" s="19">
        <v>71</v>
      </c>
      <c r="J4" s="19">
        <v>146</v>
      </c>
      <c r="K4" s="19">
        <v>17</v>
      </c>
      <c r="L4" s="19">
        <v>3</v>
      </c>
      <c r="M4" s="19">
        <v>26</v>
      </c>
      <c r="N4" s="19">
        <v>67</v>
      </c>
      <c r="O4" s="19">
        <v>64</v>
      </c>
      <c r="P4" s="19">
        <v>5</v>
      </c>
      <c r="Q4" s="19">
        <v>201</v>
      </c>
      <c r="R4" s="19">
        <v>3</v>
      </c>
      <c r="S4" s="19">
        <v>1</v>
      </c>
      <c r="T4" s="19">
        <v>738</v>
      </c>
      <c r="U4" s="19">
        <v>247</v>
      </c>
      <c r="V4" s="19">
        <v>46</v>
      </c>
      <c r="W4" s="19">
        <v>3</v>
      </c>
      <c r="X4" s="19">
        <v>5</v>
      </c>
      <c r="Y4" s="19">
        <v>4</v>
      </c>
      <c r="Z4" s="19">
        <v>11</v>
      </c>
      <c r="AA4" s="19">
        <v>0.221</v>
      </c>
      <c r="AB4" s="19">
        <v>0.29299999999999998</v>
      </c>
      <c r="AC4" s="19">
        <v>0.374</v>
      </c>
      <c r="AD4" s="19">
        <v>0.66600000000000004</v>
      </c>
    </row>
    <row r="5" spans="1:30" ht="23" x14ac:dyDescent="0.25">
      <c r="A5" s="17"/>
      <c r="B5" s="18"/>
      <c r="C5" s="2" t="s">
        <v>191</v>
      </c>
      <c r="D5" s="19">
        <v>26</v>
      </c>
      <c r="E5" s="19">
        <v>30</v>
      </c>
      <c r="F5" s="19">
        <v>0.46400000000000002</v>
      </c>
      <c r="G5" s="19">
        <v>56</v>
      </c>
      <c r="H5" s="20">
        <v>1870</v>
      </c>
      <c r="I5" s="19">
        <v>198</v>
      </c>
      <c r="J5" s="19">
        <v>411</v>
      </c>
      <c r="K5" s="19">
        <v>69</v>
      </c>
      <c r="L5" s="19">
        <v>7</v>
      </c>
      <c r="M5" s="19">
        <v>61</v>
      </c>
      <c r="N5" s="19">
        <v>194</v>
      </c>
      <c r="O5" s="19">
        <v>164</v>
      </c>
      <c r="P5" s="19">
        <v>15</v>
      </c>
      <c r="Q5" s="19">
        <v>562</v>
      </c>
      <c r="R5" s="19">
        <v>18</v>
      </c>
      <c r="S5" s="19">
        <v>5</v>
      </c>
      <c r="T5" s="20">
        <v>2061</v>
      </c>
      <c r="U5" s="19">
        <v>677</v>
      </c>
      <c r="V5" s="19">
        <v>137</v>
      </c>
      <c r="W5" s="19">
        <v>4</v>
      </c>
      <c r="X5" s="19">
        <v>8</v>
      </c>
      <c r="Y5" s="19">
        <v>13</v>
      </c>
      <c r="Z5" s="19">
        <v>21</v>
      </c>
      <c r="AA5" s="19">
        <v>0.22</v>
      </c>
      <c r="AB5" s="19">
        <v>0.28699999999999998</v>
      </c>
      <c r="AC5" s="19">
        <v>0.36199999999999999</v>
      </c>
      <c r="AD5" s="19">
        <v>0.64900000000000002</v>
      </c>
    </row>
    <row r="6" spans="1:30" ht="23" x14ac:dyDescent="0.25">
      <c r="A6" s="17"/>
      <c r="B6" s="18"/>
      <c r="C6" s="2" t="s">
        <v>211</v>
      </c>
      <c r="D6" s="19">
        <v>6</v>
      </c>
      <c r="E6" s="19">
        <v>13</v>
      </c>
      <c r="F6" s="19">
        <v>0.316</v>
      </c>
      <c r="G6" s="19">
        <v>19</v>
      </c>
      <c r="H6" s="19">
        <v>658</v>
      </c>
      <c r="I6" s="19">
        <v>62</v>
      </c>
      <c r="J6" s="19">
        <v>138</v>
      </c>
      <c r="K6" s="19">
        <v>24</v>
      </c>
      <c r="L6" s="19">
        <v>0</v>
      </c>
      <c r="M6" s="19">
        <v>14</v>
      </c>
      <c r="N6" s="19">
        <v>61</v>
      </c>
      <c r="O6" s="19">
        <v>43</v>
      </c>
      <c r="P6" s="19">
        <v>7</v>
      </c>
      <c r="Q6" s="19">
        <v>159</v>
      </c>
      <c r="R6" s="19">
        <v>9</v>
      </c>
      <c r="S6" s="19">
        <v>2</v>
      </c>
      <c r="T6" s="19">
        <v>715</v>
      </c>
      <c r="U6" s="19">
        <v>204</v>
      </c>
      <c r="V6" s="19">
        <v>38</v>
      </c>
      <c r="W6" s="19">
        <v>3</v>
      </c>
      <c r="X6" s="19">
        <v>4</v>
      </c>
      <c r="Y6" s="19">
        <v>1</v>
      </c>
      <c r="Z6" s="19">
        <v>9</v>
      </c>
      <c r="AA6" s="19">
        <v>0.21</v>
      </c>
      <c r="AB6" s="19">
        <v>0.26400000000000001</v>
      </c>
      <c r="AC6" s="19">
        <v>0.31</v>
      </c>
      <c r="AD6" s="19">
        <v>0.57399999999999995</v>
      </c>
    </row>
    <row r="7" spans="1:30" ht="23" x14ac:dyDescent="0.25">
      <c r="A7" s="17"/>
      <c r="B7" s="18"/>
      <c r="C7" s="2" t="s">
        <v>189</v>
      </c>
      <c r="D7" s="19">
        <v>30</v>
      </c>
      <c r="E7" s="19">
        <v>21</v>
      </c>
      <c r="F7" s="19">
        <v>0.58799999999999997</v>
      </c>
      <c r="G7" s="19">
        <v>51</v>
      </c>
      <c r="H7" s="20">
        <v>1742</v>
      </c>
      <c r="I7" s="19">
        <v>247</v>
      </c>
      <c r="J7" s="19">
        <v>423</v>
      </c>
      <c r="K7" s="19">
        <v>88</v>
      </c>
      <c r="L7" s="19">
        <v>6</v>
      </c>
      <c r="M7" s="19">
        <v>58</v>
      </c>
      <c r="N7" s="19">
        <v>237</v>
      </c>
      <c r="O7" s="19">
        <v>185</v>
      </c>
      <c r="P7" s="19">
        <v>18</v>
      </c>
      <c r="Q7" s="19">
        <v>468</v>
      </c>
      <c r="R7" s="19">
        <v>25</v>
      </c>
      <c r="S7" s="19">
        <v>6</v>
      </c>
      <c r="T7" s="20">
        <v>1964</v>
      </c>
      <c r="U7" s="19">
        <v>697</v>
      </c>
      <c r="V7" s="19">
        <v>152</v>
      </c>
      <c r="W7" s="19">
        <v>8</v>
      </c>
      <c r="X7" s="19">
        <v>11</v>
      </c>
      <c r="Y7" s="19">
        <v>15</v>
      </c>
      <c r="Z7" s="19">
        <v>39</v>
      </c>
      <c r="AA7" s="19">
        <v>0.24299999999999999</v>
      </c>
      <c r="AB7" s="19">
        <v>0.32</v>
      </c>
      <c r="AC7" s="19">
        <v>0.4</v>
      </c>
      <c r="AD7" s="19">
        <v>0.72</v>
      </c>
    </row>
    <row r="8" spans="1:30" ht="23" x14ac:dyDescent="0.25">
      <c r="A8" s="17"/>
      <c r="B8" s="18"/>
      <c r="C8" s="2" t="s">
        <v>194</v>
      </c>
      <c r="D8" s="19">
        <v>23</v>
      </c>
      <c r="E8" s="19">
        <v>24</v>
      </c>
      <c r="F8" s="19">
        <v>0.48899999999999999</v>
      </c>
      <c r="G8" s="19">
        <v>47</v>
      </c>
      <c r="H8" s="20">
        <v>1529</v>
      </c>
      <c r="I8" s="19">
        <v>157</v>
      </c>
      <c r="J8" s="19">
        <v>316</v>
      </c>
      <c r="K8" s="19">
        <v>57</v>
      </c>
      <c r="L8" s="19">
        <v>5</v>
      </c>
      <c r="M8" s="19">
        <v>58</v>
      </c>
      <c r="N8" s="19">
        <v>152</v>
      </c>
      <c r="O8" s="19">
        <v>126</v>
      </c>
      <c r="P8" s="19">
        <v>21</v>
      </c>
      <c r="Q8" s="19">
        <v>455</v>
      </c>
      <c r="R8" s="19">
        <v>25</v>
      </c>
      <c r="S8" s="19">
        <v>5</v>
      </c>
      <c r="T8" s="20">
        <v>1694</v>
      </c>
      <c r="U8" s="19">
        <v>557</v>
      </c>
      <c r="V8" s="19">
        <v>120</v>
      </c>
      <c r="W8" s="19">
        <v>12</v>
      </c>
      <c r="X8" s="19">
        <v>6</v>
      </c>
      <c r="Y8" s="19">
        <v>13</v>
      </c>
      <c r="Z8" s="19">
        <v>24</v>
      </c>
      <c r="AA8" s="19">
        <v>0.20699999999999999</v>
      </c>
      <c r="AB8" s="19">
        <v>0.27500000000000002</v>
      </c>
      <c r="AC8" s="19">
        <v>0.36399999999999999</v>
      </c>
      <c r="AD8" s="19">
        <v>0.64</v>
      </c>
    </row>
    <row r="9" spans="1:30" ht="23" x14ac:dyDescent="0.25">
      <c r="A9" s="17"/>
      <c r="B9" s="18"/>
      <c r="C9" s="2" t="s">
        <v>208</v>
      </c>
      <c r="D9" s="19">
        <v>2</v>
      </c>
      <c r="E9" s="19">
        <v>5</v>
      </c>
      <c r="F9" s="19">
        <f>D9/SUM(E9,D9)</f>
        <v>0.2857142857142857</v>
      </c>
      <c r="G9" s="19">
        <f>SUM(D9:E9)</f>
        <v>7</v>
      </c>
    </row>
    <row r="10" spans="1:30" ht="23" x14ac:dyDescent="0.25">
      <c r="A10" s="17"/>
      <c r="B10" s="18"/>
      <c r="C10" s="2" t="s">
        <v>205</v>
      </c>
      <c r="D10" s="19">
        <v>2</v>
      </c>
      <c r="E10" s="19">
        <v>9</v>
      </c>
      <c r="F10" s="19">
        <f>D10/G10</f>
        <v>0.18181818181818182</v>
      </c>
      <c r="G10" s="19">
        <f>SUM(D10:E10)</f>
        <v>11</v>
      </c>
    </row>
    <row r="11" spans="1:30" ht="23" x14ac:dyDescent="0.25">
      <c r="A11" s="17"/>
      <c r="B11" s="18"/>
      <c r="C11" s="2" t="s">
        <v>195</v>
      </c>
      <c r="D11" s="19">
        <v>21</v>
      </c>
      <c r="E11" s="19">
        <v>25</v>
      </c>
      <c r="F11" s="19">
        <v>0.45700000000000002</v>
      </c>
      <c r="G11" s="19">
        <v>46</v>
      </c>
      <c r="H11" s="20">
        <v>1526</v>
      </c>
      <c r="I11" s="19">
        <v>156</v>
      </c>
      <c r="J11" s="19">
        <v>330</v>
      </c>
      <c r="K11" s="19">
        <v>63</v>
      </c>
      <c r="L11" s="19">
        <v>1</v>
      </c>
      <c r="M11" s="19">
        <v>43</v>
      </c>
      <c r="N11" s="19">
        <v>146</v>
      </c>
      <c r="O11" s="19">
        <v>128</v>
      </c>
      <c r="P11" s="19">
        <v>17</v>
      </c>
      <c r="Q11" s="19">
        <v>446</v>
      </c>
      <c r="R11" s="19">
        <v>20</v>
      </c>
      <c r="S11" s="19">
        <v>5</v>
      </c>
      <c r="T11" s="20">
        <v>1690</v>
      </c>
      <c r="U11" s="19">
        <v>524</v>
      </c>
      <c r="V11" s="19">
        <v>107</v>
      </c>
      <c r="W11" s="19">
        <v>12</v>
      </c>
      <c r="X11" s="19">
        <v>7</v>
      </c>
      <c r="Y11" s="19">
        <v>11</v>
      </c>
      <c r="Z11" s="19">
        <v>30</v>
      </c>
      <c r="AA11" s="19">
        <v>0.216</v>
      </c>
      <c r="AB11" s="19">
        <v>0.28299999999999997</v>
      </c>
      <c r="AC11" s="19">
        <v>0.34300000000000003</v>
      </c>
      <c r="AD11" s="19">
        <v>0.626</v>
      </c>
    </row>
    <row r="12" spans="1:30" ht="23" x14ac:dyDescent="0.25">
      <c r="A12" s="17"/>
      <c r="B12" s="18"/>
      <c r="C12" s="2" t="s">
        <v>206</v>
      </c>
      <c r="D12" s="19">
        <v>1</v>
      </c>
      <c r="E12" s="19">
        <v>1</v>
      </c>
      <c r="F12" s="19">
        <v>0.5</v>
      </c>
      <c r="G12" s="19">
        <v>2</v>
      </c>
    </row>
    <row r="13" spans="1:30" ht="23" x14ac:dyDescent="0.25">
      <c r="A13" s="17"/>
      <c r="B13" s="18"/>
      <c r="C13" s="2" t="s">
        <v>193</v>
      </c>
      <c r="D13" s="19">
        <v>25</v>
      </c>
      <c r="E13" s="19">
        <v>28</v>
      </c>
      <c r="F13" s="19">
        <v>0.47199999999999998</v>
      </c>
      <c r="G13" s="19">
        <v>53</v>
      </c>
      <c r="H13" s="20">
        <v>1792</v>
      </c>
      <c r="I13" s="19">
        <v>179</v>
      </c>
      <c r="J13" s="19">
        <v>415</v>
      </c>
      <c r="K13" s="19">
        <v>80</v>
      </c>
      <c r="L13" s="19">
        <v>2</v>
      </c>
      <c r="M13" s="19">
        <v>49</v>
      </c>
      <c r="N13" s="19">
        <v>167</v>
      </c>
      <c r="O13" s="19">
        <v>168</v>
      </c>
      <c r="P13" s="19">
        <v>23</v>
      </c>
      <c r="Q13" s="19">
        <v>477</v>
      </c>
      <c r="R13" s="19">
        <v>21</v>
      </c>
      <c r="S13" s="19">
        <v>8</v>
      </c>
      <c r="T13" s="20">
        <v>2003</v>
      </c>
      <c r="U13" s="19">
        <v>646</v>
      </c>
      <c r="V13" s="19">
        <v>131</v>
      </c>
      <c r="W13" s="19">
        <v>17</v>
      </c>
      <c r="X13" s="19">
        <v>3</v>
      </c>
      <c r="Y13" s="19">
        <v>18</v>
      </c>
      <c r="Z13" s="19">
        <v>47</v>
      </c>
      <c r="AA13" s="19">
        <v>0.23200000000000001</v>
      </c>
      <c r="AB13" s="19">
        <v>0.30499999999999999</v>
      </c>
      <c r="AC13" s="19">
        <v>0.36</v>
      </c>
      <c r="AD13" s="19">
        <v>0.66600000000000004</v>
      </c>
    </row>
    <row r="14" spans="1:30" ht="23" x14ac:dyDescent="0.25">
      <c r="A14" s="17"/>
      <c r="B14" s="18"/>
      <c r="C14" s="2" t="s">
        <v>204</v>
      </c>
      <c r="D14" s="19">
        <v>2</v>
      </c>
      <c r="E14" s="19">
        <v>3</v>
      </c>
      <c r="F14" s="19">
        <f>D14/G14</f>
        <v>0.4</v>
      </c>
      <c r="G14" s="19">
        <f>SUM(D14:E14)</f>
        <v>5</v>
      </c>
    </row>
    <row r="15" spans="1:30" ht="23" x14ac:dyDescent="0.25">
      <c r="A15" s="17"/>
      <c r="B15" s="18"/>
      <c r="C15" s="2" t="s">
        <v>185</v>
      </c>
      <c r="D15" s="19">
        <v>62</v>
      </c>
      <c r="E15" s="19">
        <v>43</v>
      </c>
      <c r="F15" s="19">
        <v>0.59</v>
      </c>
      <c r="G15" s="19">
        <v>105</v>
      </c>
      <c r="H15" s="20">
        <v>3569</v>
      </c>
      <c r="I15" s="19">
        <v>473</v>
      </c>
      <c r="J15" s="19">
        <v>877</v>
      </c>
      <c r="K15" s="19">
        <v>144</v>
      </c>
      <c r="L15" s="19">
        <v>5</v>
      </c>
      <c r="M15" s="19">
        <v>151</v>
      </c>
      <c r="N15" s="19">
        <v>456</v>
      </c>
      <c r="O15" s="19">
        <v>366</v>
      </c>
      <c r="P15" s="19">
        <v>50</v>
      </c>
      <c r="Q15" s="19">
        <v>868</v>
      </c>
      <c r="R15" s="19">
        <v>44</v>
      </c>
      <c r="S15" s="19">
        <v>11</v>
      </c>
      <c r="T15" s="20">
        <v>4011</v>
      </c>
      <c r="U15" s="20">
        <v>1484</v>
      </c>
      <c r="V15" s="19">
        <v>300</v>
      </c>
      <c r="W15" s="19">
        <v>10</v>
      </c>
      <c r="X15" s="19">
        <v>16</v>
      </c>
      <c r="Y15" s="19">
        <v>31</v>
      </c>
      <c r="Z15" s="19">
        <v>80</v>
      </c>
      <c r="AA15" s="19">
        <v>0.246</v>
      </c>
      <c r="AB15" s="19">
        <v>0.32300000000000001</v>
      </c>
      <c r="AC15" s="19">
        <v>0.41599999999999998</v>
      </c>
      <c r="AD15" s="19">
        <v>0.73899999999999999</v>
      </c>
    </row>
    <row r="16" spans="1:30" ht="23" x14ac:dyDescent="0.25">
      <c r="A16" s="17"/>
      <c r="B16" s="18"/>
      <c r="C16" s="2" t="s">
        <v>192</v>
      </c>
      <c r="D16" s="19">
        <v>25</v>
      </c>
      <c r="E16" s="19">
        <v>12</v>
      </c>
      <c r="F16" s="19">
        <v>0.67600000000000005</v>
      </c>
      <c r="G16" s="19">
        <v>37</v>
      </c>
      <c r="H16" s="20">
        <v>1272</v>
      </c>
      <c r="I16" s="19">
        <v>174</v>
      </c>
      <c r="J16" s="19">
        <v>322</v>
      </c>
      <c r="K16" s="19">
        <v>57</v>
      </c>
      <c r="L16" s="19">
        <v>5</v>
      </c>
      <c r="M16" s="19">
        <v>30</v>
      </c>
      <c r="N16" s="19">
        <v>165</v>
      </c>
      <c r="O16" s="19">
        <v>98</v>
      </c>
      <c r="P16" s="19">
        <v>16</v>
      </c>
      <c r="Q16" s="19">
        <v>261</v>
      </c>
      <c r="R16" s="19">
        <v>33</v>
      </c>
      <c r="S16" s="19">
        <v>10</v>
      </c>
      <c r="T16" s="20">
        <v>1415</v>
      </c>
      <c r="U16" s="19">
        <v>479</v>
      </c>
      <c r="V16" s="19">
        <v>92</v>
      </c>
      <c r="W16" s="19">
        <v>12</v>
      </c>
      <c r="X16" s="19">
        <v>17</v>
      </c>
      <c r="Y16" s="19">
        <v>10</v>
      </c>
      <c r="Z16" s="19">
        <v>24</v>
      </c>
      <c r="AA16" s="19">
        <v>0.253</v>
      </c>
      <c r="AB16" s="19">
        <v>0.311</v>
      </c>
      <c r="AC16" s="19">
        <v>0.377</v>
      </c>
      <c r="AD16" s="19">
        <v>0.68700000000000006</v>
      </c>
    </row>
    <row r="17" spans="1:30" ht="23" x14ac:dyDescent="0.25">
      <c r="A17" s="17"/>
      <c r="B17" s="18"/>
      <c r="C17" s="2" t="s">
        <v>207</v>
      </c>
      <c r="D17" s="19">
        <v>0</v>
      </c>
      <c r="E17" s="19">
        <v>0</v>
      </c>
      <c r="F17" s="19">
        <v>0</v>
      </c>
      <c r="G17" s="19">
        <v>0</v>
      </c>
    </row>
    <row r="18" spans="1:30" ht="23" x14ac:dyDescent="0.25">
      <c r="A18" s="17"/>
      <c r="B18" s="18"/>
      <c r="C18" s="2" t="s">
        <v>184</v>
      </c>
      <c r="D18" s="19">
        <v>77</v>
      </c>
      <c r="E18" s="19">
        <v>59</v>
      </c>
      <c r="F18" s="19">
        <v>0.56599999999999995</v>
      </c>
      <c r="G18" s="19">
        <v>136</v>
      </c>
      <c r="H18" s="20">
        <v>4574</v>
      </c>
      <c r="I18" s="19">
        <v>605</v>
      </c>
      <c r="J18" s="20">
        <v>1078</v>
      </c>
      <c r="K18" s="19">
        <v>191</v>
      </c>
      <c r="L18" s="19">
        <v>20</v>
      </c>
      <c r="M18" s="19">
        <v>177</v>
      </c>
      <c r="N18" s="19">
        <v>580</v>
      </c>
      <c r="O18" s="19">
        <v>523</v>
      </c>
      <c r="P18" s="19">
        <v>60</v>
      </c>
      <c r="Q18" s="20">
        <v>1253</v>
      </c>
      <c r="R18" s="19">
        <v>86</v>
      </c>
      <c r="S18" s="19">
        <v>17</v>
      </c>
      <c r="T18" s="20">
        <v>5221</v>
      </c>
      <c r="U18" s="20">
        <v>1840</v>
      </c>
      <c r="V18" s="19">
        <v>388</v>
      </c>
      <c r="W18" s="19">
        <v>35</v>
      </c>
      <c r="X18" s="19">
        <v>29</v>
      </c>
      <c r="Y18" s="19">
        <v>53</v>
      </c>
      <c r="Z18" s="19">
        <v>84</v>
      </c>
      <c r="AA18" s="19">
        <v>0.23599999999999999</v>
      </c>
      <c r="AB18" s="19">
        <v>0.32</v>
      </c>
      <c r="AC18" s="19">
        <v>0.40200000000000002</v>
      </c>
      <c r="AD18" s="19">
        <v>0.72299999999999998</v>
      </c>
    </row>
    <row r="19" spans="1:30" ht="23" x14ac:dyDescent="0.25">
      <c r="A19" s="17"/>
      <c r="B19" s="18"/>
      <c r="C19" s="2" t="s">
        <v>199</v>
      </c>
      <c r="D19" s="19">
        <v>16</v>
      </c>
      <c r="E19" s="19">
        <v>26</v>
      </c>
      <c r="F19" s="19">
        <v>0.38100000000000001</v>
      </c>
      <c r="G19" s="19">
        <v>42</v>
      </c>
      <c r="H19" s="20">
        <v>1383</v>
      </c>
      <c r="I19" s="19">
        <v>139</v>
      </c>
      <c r="J19" s="19">
        <v>321</v>
      </c>
      <c r="K19" s="19">
        <v>72</v>
      </c>
      <c r="L19" s="19">
        <v>4</v>
      </c>
      <c r="M19" s="19">
        <v>42</v>
      </c>
      <c r="N19" s="19">
        <v>134</v>
      </c>
      <c r="O19" s="19">
        <v>121</v>
      </c>
      <c r="P19" s="19">
        <v>16</v>
      </c>
      <c r="Q19" s="19">
        <v>377</v>
      </c>
      <c r="R19" s="19">
        <v>25</v>
      </c>
      <c r="S19" s="19">
        <v>6</v>
      </c>
      <c r="T19" s="20">
        <v>1537</v>
      </c>
      <c r="U19" s="19">
        <v>527</v>
      </c>
      <c r="V19" s="19">
        <v>118</v>
      </c>
      <c r="W19" s="19">
        <v>8</v>
      </c>
      <c r="X19" s="19">
        <v>9</v>
      </c>
      <c r="Y19" s="19">
        <v>11</v>
      </c>
      <c r="Z19" s="19">
        <v>29</v>
      </c>
      <c r="AA19" s="19">
        <v>0.23200000000000001</v>
      </c>
      <c r="AB19" s="19">
        <v>0.3</v>
      </c>
      <c r="AC19" s="19">
        <v>0.38100000000000001</v>
      </c>
      <c r="AD19" s="19">
        <v>0.68100000000000005</v>
      </c>
    </row>
    <row r="20" spans="1:30" ht="23" x14ac:dyDescent="0.25">
      <c r="A20" s="17"/>
      <c r="B20" s="18"/>
      <c r="C20" s="2" t="s">
        <v>209</v>
      </c>
      <c r="D20" s="19">
        <v>3</v>
      </c>
      <c r="E20" s="19">
        <v>12</v>
      </c>
      <c r="F20" s="19">
        <v>0.2</v>
      </c>
      <c r="G20" s="19">
        <v>15</v>
      </c>
      <c r="H20" s="19">
        <v>476</v>
      </c>
      <c r="I20" s="19">
        <v>38</v>
      </c>
      <c r="J20" s="19">
        <v>96</v>
      </c>
      <c r="K20" s="19">
        <v>19</v>
      </c>
      <c r="L20" s="19">
        <v>1</v>
      </c>
      <c r="M20" s="19">
        <v>15</v>
      </c>
      <c r="N20" s="19">
        <v>36</v>
      </c>
      <c r="O20" s="19">
        <v>60</v>
      </c>
      <c r="P20" s="19">
        <v>7</v>
      </c>
      <c r="Q20" s="19">
        <v>155</v>
      </c>
      <c r="R20" s="19">
        <v>4</v>
      </c>
    </row>
    <row r="21" spans="1:30" ht="23" x14ac:dyDescent="0.25">
      <c r="A21" s="17"/>
      <c r="B21" s="18"/>
      <c r="C21" s="2" t="s">
        <v>198</v>
      </c>
      <c r="D21" s="19">
        <v>16</v>
      </c>
      <c r="E21" s="19">
        <v>15</v>
      </c>
      <c r="F21" s="19">
        <v>0.51600000000000001</v>
      </c>
      <c r="G21" s="19">
        <v>31</v>
      </c>
      <c r="H21" s="20">
        <v>1027</v>
      </c>
      <c r="I21" s="19">
        <v>134</v>
      </c>
      <c r="J21" s="19">
        <v>233</v>
      </c>
      <c r="K21" s="19">
        <v>30</v>
      </c>
      <c r="L21" s="19">
        <v>5</v>
      </c>
      <c r="M21" s="19">
        <v>36</v>
      </c>
      <c r="N21" s="19">
        <v>132</v>
      </c>
      <c r="O21" s="19">
        <v>109</v>
      </c>
      <c r="P21" s="19">
        <v>18</v>
      </c>
      <c r="Q21" s="19">
        <v>284</v>
      </c>
      <c r="R21" s="19">
        <v>19</v>
      </c>
      <c r="S21" s="19">
        <v>4</v>
      </c>
      <c r="T21" s="20">
        <v>1175</v>
      </c>
      <c r="U21" s="19">
        <v>381</v>
      </c>
      <c r="V21" s="19">
        <v>71</v>
      </c>
      <c r="W21" s="19">
        <v>6</v>
      </c>
      <c r="X21" s="19">
        <v>15</v>
      </c>
      <c r="Y21" s="19">
        <v>8</v>
      </c>
      <c r="Z21" s="19">
        <v>20</v>
      </c>
      <c r="AA21" s="19">
        <v>0.22700000000000001</v>
      </c>
      <c r="AB21" s="19">
        <v>0.308</v>
      </c>
      <c r="AC21" s="19">
        <v>0.371</v>
      </c>
      <c r="AD21" s="19">
        <v>0.67900000000000005</v>
      </c>
    </row>
    <row r="22" spans="1:30" ht="23" x14ac:dyDescent="0.25">
      <c r="A22" s="17"/>
      <c r="B22" s="18"/>
      <c r="C22" s="2" t="s">
        <v>186</v>
      </c>
      <c r="D22" s="19">
        <v>42</v>
      </c>
      <c r="E22" s="19">
        <v>47</v>
      </c>
      <c r="F22" s="19">
        <v>0.47199999999999998</v>
      </c>
      <c r="G22" s="19">
        <v>89</v>
      </c>
      <c r="H22" s="20">
        <v>2968</v>
      </c>
      <c r="I22" s="19">
        <v>374</v>
      </c>
      <c r="J22" s="19">
        <v>660</v>
      </c>
      <c r="K22" s="19">
        <v>115</v>
      </c>
      <c r="L22" s="19">
        <v>11</v>
      </c>
      <c r="M22" s="19">
        <v>117</v>
      </c>
      <c r="N22" s="19">
        <v>360</v>
      </c>
      <c r="O22" s="19">
        <v>346</v>
      </c>
      <c r="P22" s="19">
        <v>27</v>
      </c>
      <c r="Q22" s="19">
        <v>853</v>
      </c>
      <c r="R22" s="19">
        <v>47</v>
      </c>
      <c r="S22" s="19">
        <v>10</v>
      </c>
      <c r="T22" s="20">
        <v>3377</v>
      </c>
      <c r="U22" s="20">
        <v>1148</v>
      </c>
      <c r="V22" s="19">
        <v>243</v>
      </c>
      <c r="W22" s="19">
        <v>8</v>
      </c>
      <c r="X22" s="19">
        <v>28</v>
      </c>
      <c r="Y22" s="19">
        <v>21</v>
      </c>
      <c r="Z22" s="19">
        <v>51</v>
      </c>
      <c r="AA22" s="19">
        <v>0.222</v>
      </c>
      <c r="AB22" s="19">
        <v>0.307</v>
      </c>
      <c r="AC22" s="19">
        <v>0.38700000000000001</v>
      </c>
      <c r="AD22" s="19">
        <v>0.69299999999999995</v>
      </c>
    </row>
    <row r="23" spans="1:30" ht="23" x14ac:dyDescent="0.25">
      <c r="A23" s="17"/>
      <c r="B23" s="18"/>
      <c r="C23" s="2" t="s">
        <v>190</v>
      </c>
      <c r="D23" s="19">
        <v>28</v>
      </c>
      <c r="E23" s="19">
        <v>24</v>
      </c>
      <c r="F23" s="19">
        <v>0.53800000000000003</v>
      </c>
      <c r="G23" s="19">
        <v>52</v>
      </c>
      <c r="H23" s="20">
        <v>1673</v>
      </c>
      <c r="I23" s="19">
        <v>217</v>
      </c>
      <c r="J23" s="19">
        <v>370</v>
      </c>
      <c r="K23" s="19">
        <v>86</v>
      </c>
      <c r="L23" s="19">
        <v>5</v>
      </c>
      <c r="M23" s="19">
        <v>61</v>
      </c>
      <c r="N23" s="19">
        <v>205</v>
      </c>
      <c r="O23" s="19">
        <v>175</v>
      </c>
      <c r="P23" s="19">
        <v>29</v>
      </c>
      <c r="Q23" s="19">
        <v>460</v>
      </c>
      <c r="R23" s="19">
        <v>41</v>
      </c>
      <c r="S23" s="19">
        <v>10</v>
      </c>
      <c r="T23" s="20">
        <v>1903</v>
      </c>
      <c r="U23" s="19">
        <v>649</v>
      </c>
      <c r="V23" s="19">
        <v>152</v>
      </c>
      <c r="W23" s="19">
        <v>12</v>
      </c>
      <c r="X23" s="19">
        <v>14</v>
      </c>
      <c r="Y23" s="19">
        <v>21</v>
      </c>
      <c r="Z23" s="19">
        <v>28</v>
      </c>
      <c r="AA23" s="19">
        <v>0.221</v>
      </c>
      <c r="AB23" s="19">
        <v>0.30399999999999999</v>
      </c>
      <c r="AC23" s="19">
        <v>0.38800000000000001</v>
      </c>
      <c r="AD23" s="19">
        <v>0.69099999999999995</v>
      </c>
    </row>
    <row r="24" spans="1:30" ht="23" x14ac:dyDescent="0.25">
      <c r="A24" s="17"/>
      <c r="B24" s="18"/>
      <c r="C24" s="2" t="s">
        <v>210</v>
      </c>
      <c r="D24" s="19">
        <v>3</v>
      </c>
      <c r="E24" s="19">
        <v>5</v>
      </c>
      <c r="F24" s="19">
        <v>0.375</v>
      </c>
      <c r="G24" s="19">
        <v>8</v>
      </c>
      <c r="H24" s="19">
        <v>251</v>
      </c>
      <c r="I24" s="19">
        <v>21</v>
      </c>
      <c r="J24" s="19">
        <v>54</v>
      </c>
      <c r="K24" s="19">
        <v>7</v>
      </c>
      <c r="L24" s="19">
        <v>0</v>
      </c>
      <c r="M24" s="19">
        <v>7</v>
      </c>
      <c r="N24" s="19">
        <v>21</v>
      </c>
      <c r="O24" s="19">
        <v>18</v>
      </c>
      <c r="P24" s="19">
        <v>3</v>
      </c>
      <c r="Q24" s="19">
        <v>63</v>
      </c>
      <c r="R24" s="19">
        <v>1</v>
      </c>
      <c r="S24" s="19">
        <v>1</v>
      </c>
      <c r="T24" s="19">
        <v>277</v>
      </c>
      <c r="U24" s="19">
        <v>82</v>
      </c>
      <c r="V24" s="19">
        <v>14</v>
      </c>
      <c r="W24" s="19">
        <v>2</v>
      </c>
      <c r="X24" s="19">
        <v>3</v>
      </c>
      <c r="Y24" s="19">
        <v>3</v>
      </c>
      <c r="Z24" s="19">
        <v>6</v>
      </c>
      <c r="AA24" s="19">
        <v>0.215</v>
      </c>
      <c r="AB24" s="19">
        <v>0.27300000000000002</v>
      </c>
      <c r="AC24" s="19">
        <v>0.32700000000000001</v>
      </c>
      <c r="AD24" s="19">
        <v>0.59899999999999998</v>
      </c>
    </row>
    <row r="25" spans="1:30" ht="23" x14ac:dyDescent="0.25">
      <c r="A25" s="17"/>
      <c r="B25" s="18"/>
      <c r="C25" s="2" t="s">
        <v>200</v>
      </c>
      <c r="D25" s="19">
        <v>13</v>
      </c>
      <c r="E25" s="19">
        <v>15</v>
      </c>
      <c r="F25" s="19">
        <v>0.46400000000000002</v>
      </c>
      <c r="G25" s="19">
        <v>28</v>
      </c>
      <c r="H25" s="19">
        <v>925</v>
      </c>
      <c r="I25" s="19">
        <v>113</v>
      </c>
      <c r="J25" s="19">
        <v>208</v>
      </c>
      <c r="K25" s="19">
        <v>33</v>
      </c>
      <c r="L25" s="19">
        <v>3</v>
      </c>
      <c r="M25" s="19">
        <v>36</v>
      </c>
      <c r="N25" s="19">
        <v>110</v>
      </c>
      <c r="O25" s="19">
        <v>76</v>
      </c>
      <c r="P25" s="19">
        <v>12</v>
      </c>
      <c r="Q25" s="19">
        <v>245</v>
      </c>
      <c r="R25" s="19">
        <v>12</v>
      </c>
      <c r="S25" s="19">
        <v>3</v>
      </c>
      <c r="T25" s="20">
        <v>1025</v>
      </c>
      <c r="U25" s="19">
        <v>355</v>
      </c>
      <c r="V25" s="19">
        <v>72</v>
      </c>
      <c r="W25" s="19">
        <v>5</v>
      </c>
      <c r="X25" s="19">
        <v>7</v>
      </c>
      <c r="Y25" s="19">
        <v>4</v>
      </c>
      <c r="Z25" s="19">
        <v>11</v>
      </c>
      <c r="AA25" s="19">
        <v>0.22500000000000001</v>
      </c>
      <c r="AB25" s="19">
        <v>0.28999999999999998</v>
      </c>
      <c r="AC25" s="19">
        <v>0.38400000000000001</v>
      </c>
      <c r="AD25" s="19">
        <v>0.67400000000000004</v>
      </c>
    </row>
    <row r="26" spans="1:30" ht="23" x14ac:dyDescent="0.25">
      <c r="A26" s="17"/>
      <c r="B26" s="18"/>
      <c r="C26" s="2" t="s">
        <v>202</v>
      </c>
      <c r="D26" s="19">
        <v>8</v>
      </c>
      <c r="E26" s="19">
        <v>9</v>
      </c>
      <c r="F26" s="19">
        <v>0.47099999999999997</v>
      </c>
      <c r="G26" s="19">
        <v>17</v>
      </c>
      <c r="H26" s="19">
        <v>611</v>
      </c>
      <c r="I26" s="19">
        <v>72</v>
      </c>
      <c r="J26" s="19">
        <v>133</v>
      </c>
      <c r="K26" s="19">
        <v>26</v>
      </c>
      <c r="L26" s="19">
        <v>2</v>
      </c>
      <c r="M26" s="19">
        <v>24</v>
      </c>
      <c r="N26" s="19">
        <v>69</v>
      </c>
      <c r="O26" s="19">
        <v>65</v>
      </c>
      <c r="P26" s="19">
        <v>9</v>
      </c>
      <c r="Q26" s="19">
        <v>188</v>
      </c>
      <c r="R26" s="19">
        <v>8</v>
      </c>
      <c r="S26" s="19">
        <v>3</v>
      </c>
      <c r="T26" s="19">
        <v>690</v>
      </c>
      <c r="U26" s="19">
        <v>235</v>
      </c>
      <c r="V26" s="19">
        <v>52</v>
      </c>
      <c r="W26" s="19">
        <v>1</v>
      </c>
      <c r="X26" s="19">
        <v>4</v>
      </c>
      <c r="Y26" s="19">
        <v>6</v>
      </c>
      <c r="Z26" s="19">
        <v>13</v>
      </c>
      <c r="AA26" s="19">
        <v>0.218</v>
      </c>
      <c r="AB26" s="19">
        <v>0.3</v>
      </c>
      <c r="AC26" s="19">
        <v>0.38500000000000001</v>
      </c>
      <c r="AD26" s="19">
        <v>0.68500000000000005</v>
      </c>
    </row>
    <row r="27" spans="1:30" ht="23" x14ac:dyDescent="0.25">
      <c r="A27" s="17"/>
      <c r="B27" s="18"/>
      <c r="C27" s="2" t="s">
        <v>143</v>
      </c>
      <c r="D27" s="19">
        <v>38</v>
      </c>
      <c r="E27" s="19">
        <v>20</v>
      </c>
      <c r="F27" s="19">
        <v>0.65500000000000003</v>
      </c>
      <c r="G27" s="19">
        <v>58</v>
      </c>
      <c r="H27" s="20">
        <v>1971</v>
      </c>
      <c r="I27" s="19">
        <v>225</v>
      </c>
      <c r="J27" s="19">
        <v>470</v>
      </c>
      <c r="K27" s="19">
        <v>82</v>
      </c>
      <c r="L27" s="19">
        <v>12</v>
      </c>
      <c r="M27" s="19">
        <v>40</v>
      </c>
      <c r="N27" s="19">
        <v>210</v>
      </c>
      <c r="O27" s="19">
        <v>163</v>
      </c>
      <c r="P27" s="19">
        <v>11</v>
      </c>
      <c r="Q27" s="19">
        <v>472</v>
      </c>
      <c r="R27" s="19">
        <v>15</v>
      </c>
      <c r="S27" s="19">
        <v>14</v>
      </c>
      <c r="T27" s="20">
        <v>2182</v>
      </c>
      <c r="U27" s="19">
        <v>696</v>
      </c>
      <c r="V27" s="19">
        <v>134</v>
      </c>
      <c r="W27" s="19">
        <v>22</v>
      </c>
      <c r="X27" s="19">
        <v>15</v>
      </c>
      <c r="Y27" s="19">
        <v>12</v>
      </c>
      <c r="Z27" s="19">
        <v>29</v>
      </c>
      <c r="AA27" s="19">
        <v>0.23799999999999999</v>
      </c>
      <c r="AB27" s="19">
        <v>0.29799999999999999</v>
      </c>
      <c r="AC27" s="19">
        <v>0.35299999999999998</v>
      </c>
      <c r="AD27" s="19">
        <v>0.65100000000000002</v>
      </c>
    </row>
    <row r="28" spans="1:30" ht="23" x14ac:dyDescent="0.25">
      <c r="C28" s="2" t="s">
        <v>187</v>
      </c>
      <c r="D28" s="19">
        <v>36</v>
      </c>
      <c r="E28" s="19">
        <v>40</v>
      </c>
      <c r="F28" s="19">
        <v>0.47399999999999998</v>
      </c>
      <c r="G28" s="19">
        <v>76</v>
      </c>
      <c r="H28" s="20">
        <v>2526</v>
      </c>
      <c r="I28" s="19">
        <v>316</v>
      </c>
      <c r="J28" s="19">
        <v>587</v>
      </c>
      <c r="K28" s="19">
        <v>124</v>
      </c>
      <c r="L28" s="19">
        <v>10</v>
      </c>
      <c r="M28" s="19">
        <v>70</v>
      </c>
      <c r="N28" s="19">
        <v>294</v>
      </c>
      <c r="O28" s="19">
        <v>236</v>
      </c>
      <c r="P28" s="19">
        <v>35</v>
      </c>
      <c r="Q28" s="19">
        <v>620</v>
      </c>
      <c r="R28" s="19">
        <v>31</v>
      </c>
      <c r="S28" s="19">
        <v>9</v>
      </c>
      <c r="T28" s="20">
        <v>2844</v>
      </c>
      <c r="U28" s="19">
        <v>941</v>
      </c>
      <c r="V28" s="19">
        <v>204</v>
      </c>
      <c r="W28" s="19">
        <v>31</v>
      </c>
      <c r="X28" s="19">
        <v>16</v>
      </c>
      <c r="Y28" s="19">
        <v>33</v>
      </c>
      <c r="Z28" s="19">
        <v>50</v>
      </c>
      <c r="AA28" s="19">
        <v>0.23200000000000001</v>
      </c>
      <c r="AB28" s="19">
        <v>0.30499999999999999</v>
      </c>
      <c r="AC28" s="19">
        <v>0.373</v>
      </c>
      <c r="AD28" s="19">
        <v>0.67800000000000005</v>
      </c>
    </row>
    <row r="29" spans="1:30" ht="23" x14ac:dyDescent="0.25">
      <c r="C29" s="2" t="s">
        <v>140</v>
      </c>
      <c r="D29" s="19">
        <v>20</v>
      </c>
      <c r="E29" s="19">
        <v>28</v>
      </c>
      <c r="F29" s="19">
        <v>0.41699999999999998</v>
      </c>
      <c r="G29" s="19">
        <v>48</v>
      </c>
      <c r="H29" s="20">
        <v>1599</v>
      </c>
      <c r="I29" s="19">
        <v>174</v>
      </c>
      <c r="J29" s="19">
        <v>341</v>
      </c>
      <c r="K29" s="19">
        <v>58</v>
      </c>
      <c r="L29" s="19">
        <v>4</v>
      </c>
      <c r="M29" s="19">
        <v>69</v>
      </c>
      <c r="N29" s="19">
        <v>170</v>
      </c>
      <c r="O29" s="19">
        <v>137</v>
      </c>
      <c r="P29" s="19">
        <v>15</v>
      </c>
      <c r="Q29" s="19">
        <v>515</v>
      </c>
      <c r="R29" s="19">
        <v>15</v>
      </c>
      <c r="S29" s="19">
        <v>11</v>
      </c>
      <c r="T29" s="20">
        <v>1757</v>
      </c>
      <c r="U29" s="19">
        <v>614</v>
      </c>
      <c r="V29" s="19">
        <v>131</v>
      </c>
      <c r="W29" s="19">
        <v>2</v>
      </c>
      <c r="X29" s="19">
        <v>4</v>
      </c>
      <c r="Y29" s="19">
        <v>5</v>
      </c>
      <c r="Z29" s="19">
        <v>30</v>
      </c>
      <c r="AA29" s="19">
        <v>0.21299999999999999</v>
      </c>
      <c r="AB29" s="19">
        <v>0.28100000000000003</v>
      </c>
      <c r="AC29" s="19">
        <v>0.38400000000000001</v>
      </c>
      <c r="AD29" s="19">
        <v>0.66500000000000004</v>
      </c>
    </row>
    <row r="30" spans="1:30" ht="23" x14ac:dyDescent="0.25">
      <c r="C30" s="2" t="s">
        <v>188</v>
      </c>
      <c r="D30" s="19">
        <v>33</v>
      </c>
      <c r="E30" s="19">
        <v>26</v>
      </c>
      <c r="F30" s="19">
        <v>0.55900000000000005</v>
      </c>
      <c r="G30" s="19">
        <v>59</v>
      </c>
      <c r="H30" s="20">
        <v>2039</v>
      </c>
      <c r="I30" s="19">
        <v>283</v>
      </c>
      <c r="J30" s="19">
        <v>507</v>
      </c>
      <c r="K30" s="19">
        <v>99</v>
      </c>
      <c r="L30" s="19">
        <v>6</v>
      </c>
      <c r="M30" s="19">
        <v>77</v>
      </c>
      <c r="N30" s="19">
        <v>268</v>
      </c>
      <c r="O30" s="19">
        <v>187</v>
      </c>
      <c r="P30" s="19">
        <v>19</v>
      </c>
      <c r="Q30" s="19">
        <v>444</v>
      </c>
      <c r="R30" s="19">
        <v>37</v>
      </c>
      <c r="S30" s="19">
        <v>15</v>
      </c>
      <c r="T30" s="20">
        <v>2268</v>
      </c>
      <c r="U30" s="19">
        <v>849</v>
      </c>
      <c r="V30" s="19">
        <v>182</v>
      </c>
      <c r="W30" s="19">
        <v>11</v>
      </c>
      <c r="X30" s="19">
        <v>12</v>
      </c>
      <c r="Y30" s="19">
        <v>20</v>
      </c>
      <c r="Z30" s="19">
        <v>46</v>
      </c>
      <c r="AA30" s="19">
        <v>0.249</v>
      </c>
      <c r="AB30" s="19">
        <v>0.316</v>
      </c>
      <c r="AC30" s="19">
        <v>0.41599999999999998</v>
      </c>
      <c r="AD30" s="19">
        <v>0.73199999999999998</v>
      </c>
    </row>
    <row r="31" spans="1:30" ht="23" x14ac:dyDescent="0.25">
      <c r="C31" s="2" t="s">
        <v>196</v>
      </c>
      <c r="D31" s="19">
        <v>20</v>
      </c>
      <c r="E31" s="19">
        <v>24</v>
      </c>
      <c r="F31" s="19">
        <v>0.45500000000000002</v>
      </c>
      <c r="G31" s="19">
        <v>44</v>
      </c>
      <c r="H31" s="20">
        <v>1553</v>
      </c>
      <c r="I31" s="19">
        <v>205</v>
      </c>
      <c r="J31" s="19">
        <v>394</v>
      </c>
      <c r="K31" s="19">
        <v>78</v>
      </c>
      <c r="L31" s="19">
        <v>5</v>
      </c>
      <c r="M31" s="19">
        <v>58</v>
      </c>
      <c r="N31" s="19">
        <v>194</v>
      </c>
      <c r="O31" s="19">
        <v>137</v>
      </c>
      <c r="P31" s="19">
        <v>21</v>
      </c>
      <c r="Q31" s="19">
        <v>355</v>
      </c>
      <c r="R31" s="19">
        <v>16</v>
      </c>
      <c r="S31" s="19">
        <v>3</v>
      </c>
      <c r="T31" s="20">
        <v>1729</v>
      </c>
      <c r="U31" s="19">
        <v>656</v>
      </c>
      <c r="V31" s="19">
        <v>141</v>
      </c>
      <c r="W31" s="19">
        <v>9</v>
      </c>
      <c r="X31" s="19">
        <v>9</v>
      </c>
      <c r="Y31" s="19">
        <v>16</v>
      </c>
      <c r="Z31" s="19">
        <v>34</v>
      </c>
      <c r="AA31" s="19">
        <v>0.254</v>
      </c>
      <c r="AB31" s="19">
        <v>0.32100000000000001</v>
      </c>
      <c r="AC31" s="19">
        <v>0.42199999999999999</v>
      </c>
      <c r="AD31" s="19">
        <v>0.74299999999999999</v>
      </c>
    </row>
    <row r="32" spans="1:30" ht="23" x14ac:dyDescent="0.25">
      <c r="C32" s="2" t="s">
        <v>197</v>
      </c>
      <c r="D32" s="19">
        <v>19</v>
      </c>
      <c r="E32" s="19">
        <v>17</v>
      </c>
      <c r="F32" s="19">
        <v>0.52800000000000002</v>
      </c>
      <c r="G32" s="19">
        <v>36</v>
      </c>
      <c r="H32" s="20">
        <v>1221</v>
      </c>
      <c r="I32" s="19">
        <v>147</v>
      </c>
      <c r="J32" s="19">
        <v>274</v>
      </c>
      <c r="K32" s="19">
        <v>47</v>
      </c>
      <c r="L32" s="19">
        <v>3</v>
      </c>
      <c r="M32" s="19">
        <v>40</v>
      </c>
      <c r="N32" s="19">
        <v>140</v>
      </c>
      <c r="O32" s="19">
        <v>132</v>
      </c>
      <c r="P32" s="19">
        <v>12</v>
      </c>
      <c r="Q32" s="19">
        <v>343</v>
      </c>
      <c r="R32" s="19">
        <v>17</v>
      </c>
      <c r="S32" s="19">
        <v>1</v>
      </c>
      <c r="T32" s="20">
        <v>1387</v>
      </c>
      <c r="U32" s="19">
        <v>447</v>
      </c>
      <c r="V32" s="19">
        <v>90</v>
      </c>
      <c r="W32" s="19">
        <v>13</v>
      </c>
      <c r="X32" s="19">
        <v>9</v>
      </c>
      <c r="Y32" s="19">
        <v>13</v>
      </c>
      <c r="Z32" s="19">
        <v>16</v>
      </c>
      <c r="AA32" s="19">
        <v>0.224</v>
      </c>
      <c r="AB32" s="19">
        <v>0.30399999999999999</v>
      </c>
      <c r="AC32" s="19">
        <v>0.36599999999999999</v>
      </c>
      <c r="AD32" s="19">
        <v>0.67</v>
      </c>
    </row>
  </sheetData>
  <autoFilter ref="C2:AD32" xr:uid="{1DBC3142-94A7-0C4F-AC6E-C9D86DC4D68D}">
    <sortState xmlns:xlrd2="http://schemas.microsoft.com/office/spreadsheetml/2017/richdata2" ref="C3:AD32">
      <sortCondition ref="C2:C32"/>
    </sortState>
  </autoFilter>
  <hyperlinks>
    <hyperlink ref="C18" r:id="rId1" tooltip="Los Angeles Dodgers Franchise" display="https://www.statmuse.com/mlb/team/los-angeles-dodgers-franchise-31/history" xr:uid="{114934DA-72BC-F948-837D-914474CF3359}"/>
    <hyperlink ref="C15" r:id="rId2" tooltip="Houston Astros Franchise" display="https://www.statmuse.com/mlb/team/houston-astros-franchise-87/history" xr:uid="{B071FAF8-D2A8-9A4E-9680-3D14BA0210A3}"/>
    <hyperlink ref="C22" r:id="rId3" tooltip="New York Yankees Franchise" display="https://www.statmuse.com/mlb/team/new-york-yankees-franchise-76/history" xr:uid="{24D496F2-5A85-5041-A309-E20B37DFC168}"/>
    <hyperlink ref="C27" r:id="rId4" tooltip="San Francisco Giants Franchise" display="https://www.statmuse.com/mlb/team/san-francisco-giants-franchise-25/history" xr:uid="{B087C6DE-957F-ED40-BAE1-3F1C1D3E405C}"/>
    <hyperlink ref="C28" r:id="rId5" tooltip="St. Louis Cardinals Franchise" display="https://www.statmuse.com/mlb/team/st-louis-cardinals-franchise-67/history" xr:uid="{1797FDB4-FE80-8C4D-8796-4EE081D9ED6D}"/>
    <hyperlink ref="C30" r:id="rId6" tooltip="Texas Rangers Franchise" display="https://www.statmuse.com/mlb/team/texas-rangers-franchise-86/history" xr:uid="{CD3B81A0-6A6B-7441-9B69-044E4790F8FE}"/>
    <hyperlink ref="C7" r:id="rId7" tooltip="Boston Red Sox Franchise" display="https://www.statmuse.com/mlb/team/boston-red-sox-franchise-69/history" xr:uid="{E82C6CBB-7CEB-4549-81C1-4663B0543EEC}"/>
    <hyperlink ref="C23" r:id="rId8" tooltip="Philadelphia Phillies Franchise" display="https://www.statmuse.com/mlb/team/philadelphia-phillies-franchise-27/history" xr:uid="{FFF3D4D8-F828-5F42-B45A-6E47E9FAB118}"/>
    <hyperlink ref="C5" r:id="rId9" tooltip="Atlanta Braves Franchise" display="https://www.statmuse.com/mlb/team/atlanta-braves-franchise-1/history" xr:uid="{628750AB-9B18-D74C-BFCA-F0F967FD7310}"/>
    <hyperlink ref="C16" r:id="rId10" tooltip="Kansas City Royals Franchise" display="https://www.statmuse.com/mlb/team/kansas-city-royals-franchise-89/history" xr:uid="{02285769-45CA-384C-891E-023D3D968F2A}"/>
    <hyperlink ref="C13" r:id="rId11" tooltip="Detroit Tigers Franchise" display="https://www.statmuse.com/mlb/team/detroit-tigers-franchise-72/history" xr:uid="{492A726D-CEE1-4C4D-9D06-D06D58D7AF86}"/>
    <hyperlink ref="C8" r:id="rId12" tooltip="Chicago Cubs Franchise" display="https://www.statmuse.com/mlb/team/chicago-cubs-franchise-2/history" xr:uid="{20F090C9-E07B-CA4D-BE50-B4D2DD7F2AC5}"/>
    <hyperlink ref="C11" r:id="rId13" tooltip="Cleveland Guardians Franchise" display="https://www.statmuse.com/mlb/team/cleveland-guardians-franchise-71/history" xr:uid="{D486F83F-F21E-E54B-80CA-37E7FC094314}"/>
    <hyperlink ref="C31" r:id="rId14" tooltip="Toronto Blue Jays Franchise" display="https://www.statmuse.com/mlb/team/toronto-blue-jays-franchise-94/history" xr:uid="{11F93B84-A577-994D-8A22-3100540F978D}"/>
    <hyperlink ref="C29" r:id="rId15" tooltip="Tampa Bay Rays Franchise" display="https://www.statmuse.com/mlb/team/tampa-bay-rays-franchise-98/history" xr:uid="{D74AF312-6995-8348-AAAA-FC7BD8DCE6BE}"/>
    <hyperlink ref="C32" r:id="rId16" tooltip="Washington Nationals Franchise" display="https://www.statmuse.com/mlb/team/washington-nationals-franchise-90/history" xr:uid="{5A68DF5E-FB98-904A-B760-A0498862A1F4}"/>
    <hyperlink ref="C21" r:id="rId17" tooltip="New York Mets Franchise" display="https://www.statmuse.com/mlb/team/new-york-mets-franchise-88/history" xr:uid="{D6C07D82-7B98-824B-8E88-031C41C41465}"/>
    <hyperlink ref="C19" r:id="rId18" tooltip="Milwaukee Brewers Franchise" display="https://www.statmuse.com/mlb/team/milwaukee-brewers-franchise-92/history" xr:uid="{6A532FF2-908E-3747-99D5-7BFFE454338A}"/>
    <hyperlink ref="C25" r:id="rId19" tooltip="San Diego Padres Franchise" display="https://www.statmuse.com/mlb/team/san-diego-padres-franchise-91/history" xr:uid="{CCAF30BE-A1B6-1D48-842F-B40DDEC317FA}"/>
    <hyperlink ref="C3" r:id="rId20" tooltip="Arizona Diamondbacks Franchise" display="https://www.statmuse.com/mlb/team/arizona-diamondbacks-franchise-97/history" xr:uid="{6EA713DD-52CB-3346-AD3C-7D34634E1690}"/>
    <hyperlink ref="C26" r:id="rId21" tooltip="Seattle Mariners Franchise" display="https://www.statmuse.com/mlb/team/seattle-mariners-franchise-93/history" xr:uid="{5AE1B144-D0B4-C044-AEA7-B046353CC045}"/>
    <hyperlink ref="C4" r:id="rId22" tooltip="Athletics Franchise" display="https://www.statmuse.com/mlb/team/athletics-franchise-74/history" xr:uid="{8B1802D2-BB5C-ED49-9289-28A85FAE68A8}"/>
    <hyperlink ref="C6" r:id="rId23" tooltip="Baltimore Orioles Franchise" display="https://www.statmuse.com/mlb/team/baltimore-orioles-franchise-73/history" xr:uid="{9A7F922F-4882-BB44-B750-77E5FD8AF1FF}"/>
    <hyperlink ref="C24" r:id="rId24" tooltip="Pittsburgh Pirates Franchise" display="https://www.statmuse.com/mlb/team/pittsburgh-pirates-franchise-22/history" xr:uid="{28876D36-94C9-9D41-A10F-707F93919296}"/>
    <hyperlink ref="C20" r:id="rId25" tooltip="Minnesota Twins Franchise" display="https://www.statmuse.com/mlb/team/minnesota-twins-franchise-75/history" xr:uid="{BDC0A9FB-CB78-3241-888C-1FF8A9D8C050}"/>
  </hyperlink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BD397-C628-CC48-9EAA-E073B0581BA7}">
  <dimension ref="A1:E31"/>
  <sheetViews>
    <sheetView workbookViewId="0">
      <selection activeCell="C32" sqref="C32"/>
    </sheetView>
  </sheetViews>
  <sheetFormatPr baseColWidth="10" defaultRowHeight="16" x14ac:dyDescent="0.2"/>
  <cols>
    <col min="2" max="2" width="17.83203125" bestFit="1" customWidth="1"/>
    <col min="3" max="3" width="7.83203125" bestFit="1" customWidth="1"/>
    <col min="4" max="4" width="16" bestFit="1" customWidth="1"/>
    <col min="5" max="5" width="9.1640625" bestFit="1" customWidth="1"/>
  </cols>
  <sheetData>
    <row r="1" spans="1:5" x14ac:dyDescent="0.2">
      <c r="A1" s="11" t="s">
        <v>70</v>
      </c>
      <c r="B1" s="11" t="s">
        <v>150</v>
      </c>
      <c r="C1" s="11" t="s">
        <v>151</v>
      </c>
      <c r="D1" s="11" t="s">
        <v>152</v>
      </c>
      <c r="E1" s="11" t="s">
        <v>153</v>
      </c>
    </row>
    <row r="2" spans="1:5" x14ac:dyDescent="0.2">
      <c r="A2" t="s">
        <v>201</v>
      </c>
      <c r="B2" t="s">
        <v>162</v>
      </c>
      <c r="C2">
        <v>6</v>
      </c>
      <c r="D2" s="37">
        <v>210000000</v>
      </c>
      <c r="E2" s="22">
        <v>45654</v>
      </c>
    </row>
    <row r="3" spans="1:5" x14ac:dyDescent="0.2">
      <c r="A3" t="s">
        <v>203</v>
      </c>
      <c r="B3" t="s">
        <v>156</v>
      </c>
      <c r="C3">
        <v>3</v>
      </c>
      <c r="D3" s="37">
        <v>67000000</v>
      </c>
      <c r="E3" s="22">
        <v>45631</v>
      </c>
    </row>
    <row r="4" spans="1:5" x14ac:dyDescent="0.2">
      <c r="A4" t="s">
        <v>191</v>
      </c>
      <c r="B4" t="s">
        <v>158</v>
      </c>
      <c r="C4">
        <v>10</v>
      </c>
      <c r="D4" s="37">
        <v>212000000</v>
      </c>
      <c r="E4" s="22">
        <v>44774</v>
      </c>
    </row>
    <row r="5" spans="1:5" x14ac:dyDescent="0.2">
      <c r="A5" t="s">
        <v>211</v>
      </c>
      <c r="B5" t="s">
        <v>170</v>
      </c>
      <c r="C5">
        <v>7</v>
      </c>
      <c r="D5" s="37">
        <v>161000000</v>
      </c>
      <c r="E5" s="22">
        <v>42390</v>
      </c>
    </row>
    <row r="6" spans="1:5" x14ac:dyDescent="0.2">
      <c r="A6" t="s">
        <v>189</v>
      </c>
      <c r="B6" t="s">
        <v>176</v>
      </c>
      <c r="C6">
        <v>10</v>
      </c>
      <c r="D6" s="37">
        <v>313500000</v>
      </c>
      <c r="E6" s="22">
        <v>44930</v>
      </c>
    </row>
    <row r="7" spans="1:5" x14ac:dyDescent="0.2">
      <c r="A7" t="s">
        <v>194</v>
      </c>
      <c r="B7" t="s">
        <v>161</v>
      </c>
      <c r="C7">
        <v>8</v>
      </c>
      <c r="D7" s="37">
        <v>184000000</v>
      </c>
      <c r="E7" s="22">
        <v>42353</v>
      </c>
    </row>
    <row r="8" spans="1:5" x14ac:dyDescent="0.2">
      <c r="A8" t="s">
        <v>208</v>
      </c>
      <c r="B8" t="s">
        <v>182</v>
      </c>
      <c r="C8">
        <v>5</v>
      </c>
      <c r="D8" s="37">
        <v>75000000</v>
      </c>
      <c r="E8" s="22">
        <v>44911</v>
      </c>
    </row>
    <row r="9" spans="1:5" x14ac:dyDescent="0.2">
      <c r="A9" t="s">
        <v>205</v>
      </c>
      <c r="B9" t="s">
        <v>177</v>
      </c>
      <c r="C9">
        <v>10</v>
      </c>
      <c r="D9" s="37">
        <v>225000000</v>
      </c>
      <c r="E9" s="22">
        <v>41001</v>
      </c>
    </row>
    <row r="10" spans="1:5" x14ac:dyDescent="0.2">
      <c r="A10" t="s">
        <v>195</v>
      </c>
      <c r="B10" t="s">
        <v>165</v>
      </c>
      <c r="C10">
        <v>7</v>
      </c>
      <c r="D10" s="37">
        <v>129000000</v>
      </c>
      <c r="E10" s="22">
        <v>44657</v>
      </c>
    </row>
    <row r="11" spans="1:5" x14ac:dyDescent="0.2">
      <c r="A11" t="s">
        <v>206</v>
      </c>
      <c r="B11" t="s">
        <v>178</v>
      </c>
      <c r="C11">
        <v>7</v>
      </c>
      <c r="D11" s="37">
        <v>234000000</v>
      </c>
      <c r="E11" s="22">
        <v>43522</v>
      </c>
    </row>
    <row r="12" spans="1:5" x14ac:dyDescent="0.2">
      <c r="A12" t="s">
        <v>212</v>
      </c>
      <c r="B12" t="s">
        <v>180</v>
      </c>
      <c r="C12">
        <v>8</v>
      </c>
      <c r="D12" s="37">
        <v>248000000</v>
      </c>
      <c r="E12" s="22">
        <v>41729</v>
      </c>
    </row>
    <row r="13" spans="1:5" x14ac:dyDescent="0.2">
      <c r="A13" t="s">
        <v>204</v>
      </c>
      <c r="B13" t="s">
        <v>167</v>
      </c>
      <c r="C13">
        <v>13</v>
      </c>
      <c r="D13" s="37">
        <v>325000000</v>
      </c>
      <c r="E13" s="22">
        <v>41961</v>
      </c>
    </row>
    <row r="14" spans="1:5" x14ac:dyDescent="0.2">
      <c r="A14" t="s">
        <v>185</v>
      </c>
      <c r="B14" t="s">
        <v>155</v>
      </c>
      <c r="C14">
        <v>6</v>
      </c>
      <c r="D14" s="37">
        <v>157500000</v>
      </c>
      <c r="E14" s="22">
        <v>43179</v>
      </c>
    </row>
    <row r="15" spans="1:5" x14ac:dyDescent="0.2">
      <c r="A15" t="s">
        <v>192</v>
      </c>
      <c r="B15" t="s">
        <v>179</v>
      </c>
      <c r="C15">
        <v>11</v>
      </c>
      <c r="D15" s="37">
        <v>289000000</v>
      </c>
      <c r="E15" s="22">
        <v>45327</v>
      </c>
    </row>
    <row r="16" spans="1:5" x14ac:dyDescent="0.2">
      <c r="A16" t="s">
        <v>207</v>
      </c>
      <c r="B16" t="s">
        <v>154</v>
      </c>
      <c r="C16">
        <v>10</v>
      </c>
      <c r="D16" s="37">
        <v>360000000</v>
      </c>
      <c r="E16" s="22">
        <v>43545</v>
      </c>
    </row>
    <row r="17" spans="1:5" x14ac:dyDescent="0.2">
      <c r="A17" t="s">
        <v>184</v>
      </c>
      <c r="B17" t="s">
        <v>163</v>
      </c>
      <c r="C17">
        <v>10</v>
      </c>
      <c r="D17" s="37">
        <v>700000000</v>
      </c>
      <c r="E17" s="22">
        <v>45269</v>
      </c>
    </row>
    <row r="18" spans="1:5" x14ac:dyDescent="0.2">
      <c r="A18" t="s">
        <v>199</v>
      </c>
      <c r="B18" t="s">
        <v>159</v>
      </c>
      <c r="C18">
        <v>7</v>
      </c>
      <c r="D18" s="37">
        <v>188500000</v>
      </c>
      <c r="E18" s="22">
        <v>43896</v>
      </c>
    </row>
    <row r="19" spans="1:5" x14ac:dyDescent="0.2">
      <c r="A19" t="s">
        <v>209</v>
      </c>
      <c r="B19" t="s">
        <v>181</v>
      </c>
      <c r="C19">
        <v>6</v>
      </c>
      <c r="D19" s="37">
        <v>200000000</v>
      </c>
      <c r="E19" s="22">
        <v>44936</v>
      </c>
    </row>
    <row r="20" spans="1:5" x14ac:dyDescent="0.2">
      <c r="A20" t="s">
        <v>198</v>
      </c>
      <c r="B20" t="s">
        <v>168</v>
      </c>
      <c r="C20">
        <v>15</v>
      </c>
      <c r="D20" s="37">
        <v>765000000</v>
      </c>
      <c r="E20" s="22">
        <v>45634</v>
      </c>
    </row>
    <row r="21" spans="1:5" x14ac:dyDescent="0.2">
      <c r="A21" t="s">
        <v>186</v>
      </c>
      <c r="B21" t="s">
        <v>183</v>
      </c>
      <c r="C21">
        <v>9</v>
      </c>
      <c r="D21" s="37">
        <v>360000000</v>
      </c>
      <c r="E21" s="22">
        <v>44902</v>
      </c>
    </row>
    <row r="22" spans="1:5" x14ac:dyDescent="0.2">
      <c r="A22" t="s">
        <v>190</v>
      </c>
      <c r="B22" t="s">
        <v>172</v>
      </c>
      <c r="C22">
        <v>13</v>
      </c>
      <c r="D22" s="37">
        <v>330000000</v>
      </c>
      <c r="E22" s="22">
        <v>43524</v>
      </c>
    </row>
    <row r="23" spans="1:5" x14ac:dyDescent="0.2">
      <c r="A23" t="s">
        <v>210</v>
      </c>
      <c r="B23" t="s">
        <v>173</v>
      </c>
      <c r="C23">
        <v>7</v>
      </c>
      <c r="D23" s="37">
        <v>100000000</v>
      </c>
      <c r="E23" s="22">
        <v>45042</v>
      </c>
    </row>
    <row r="24" spans="1:5" x14ac:dyDescent="0.2">
      <c r="A24" t="s">
        <v>200</v>
      </c>
      <c r="B24" t="s">
        <v>171</v>
      </c>
      <c r="C24">
        <v>14</v>
      </c>
      <c r="D24" s="37">
        <v>340000000</v>
      </c>
      <c r="E24" s="22">
        <v>44249</v>
      </c>
    </row>
    <row r="25" spans="1:5" x14ac:dyDescent="0.2">
      <c r="A25" t="s">
        <v>202</v>
      </c>
      <c r="B25" t="s">
        <v>166</v>
      </c>
      <c r="C25">
        <v>10</v>
      </c>
      <c r="D25" s="37">
        <v>240000000</v>
      </c>
      <c r="E25" s="22">
        <v>41620</v>
      </c>
    </row>
    <row r="26" spans="1:5" x14ac:dyDescent="0.2">
      <c r="A26" t="s">
        <v>143</v>
      </c>
      <c r="B26" t="s">
        <v>164</v>
      </c>
      <c r="C26">
        <v>7</v>
      </c>
      <c r="D26" s="37">
        <v>182000000</v>
      </c>
      <c r="E26" s="22">
        <v>45633</v>
      </c>
    </row>
    <row r="27" spans="1:5" x14ac:dyDescent="0.2">
      <c r="A27" t="s">
        <v>187</v>
      </c>
      <c r="B27" t="s">
        <v>160</v>
      </c>
      <c r="C27">
        <v>5</v>
      </c>
      <c r="D27" s="37">
        <v>130000000</v>
      </c>
      <c r="E27" s="22">
        <v>43548</v>
      </c>
    </row>
    <row r="28" spans="1:5" x14ac:dyDescent="0.2">
      <c r="A28" t="s">
        <v>140</v>
      </c>
      <c r="B28" t="s">
        <v>175</v>
      </c>
      <c r="C28">
        <v>11</v>
      </c>
      <c r="D28" s="37">
        <v>182000000</v>
      </c>
      <c r="E28" s="22">
        <v>44527</v>
      </c>
    </row>
    <row r="29" spans="1:5" x14ac:dyDescent="0.2">
      <c r="A29" t="s">
        <v>188</v>
      </c>
      <c r="B29" t="s">
        <v>174</v>
      </c>
      <c r="C29">
        <v>10</v>
      </c>
      <c r="D29" s="37">
        <v>325000000</v>
      </c>
      <c r="E29" s="22">
        <v>44531</v>
      </c>
    </row>
    <row r="30" spans="1:5" x14ac:dyDescent="0.2">
      <c r="A30" t="s">
        <v>196</v>
      </c>
      <c r="B30" t="s">
        <v>157</v>
      </c>
      <c r="C30">
        <v>14</v>
      </c>
      <c r="D30" s="37">
        <v>500000000</v>
      </c>
      <c r="E30" s="22">
        <v>45753</v>
      </c>
    </row>
    <row r="31" spans="1:5" x14ac:dyDescent="0.2">
      <c r="A31" t="s">
        <v>197</v>
      </c>
      <c r="B31" t="s">
        <v>169</v>
      </c>
      <c r="C31">
        <v>7</v>
      </c>
      <c r="D31" s="37">
        <v>245000000</v>
      </c>
      <c r="E31" s="22">
        <v>43808</v>
      </c>
    </row>
  </sheetData>
  <autoFilter ref="A1:E31" xr:uid="{060BD397-C628-CC48-9EAA-E073B0581BA7}">
    <sortState xmlns:xlrd2="http://schemas.microsoft.com/office/spreadsheetml/2017/richdata2" ref="A2:E31">
      <sortCondition ref="A1:A31"/>
    </sortState>
  </autoFilter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BD5AF-5DCB-344E-8BC0-45F60DD55E7A}">
  <dimension ref="A1:I18"/>
  <sheetViews>
    <sheetView zoomScale="168" workbookViewId="0">
      <selection activeCell="E8" sqref="E8"/>
    </sheetView>
  </sheetViews>
  <sheetFormatPr baseColWidth="10" defaultRowHeight="16" x14ac:dyDescent="0.2"/>
  <cols>
    <col min="1" max="1" width="21.5" bestFit="1" customWidth="1"/>
    <col min="2" max="2" width="12.83203125" bestFit="1" customWidth="1"/>
    <col min="3" max="3" width="13.33203125" bestFit="1" customWidth="1"/>
    <col min="4" max="4" width="12.83203125" bestFit="1" customWidth="1"/>
    <col min="5" max="5" width="12.1640625" bestFit="1" customWidth="1"/>
    <col min="6" max="6" width="13" bestFit="1" customWidth="1"/>
    <col min="7" max="7" width="12.1640625" bestFit="1" customWidth="1"/>
    <col min="8" max="8" width="12.83203125" bestFit="1" customWidth="1"/>
    <col min="9" max="9" width="12.1640625" bestFit="1" customWidth="1"/>
  </cols>
  <sheetData>
    <row r="1" spans="1:9" x14ac:dyDescent="0.2">
      <c r="A1" t="s">
        <v>251</v>
      </c>
    </row>
    <row r="2" spans="1:9" ht="17" thickBot="1" x14ac:dyDescent="0.25"/>
    <row r="3" spans="1:9" x14ac:dyDescent="0.2">
      <c r="A3" s="56" t="s">
        <v>252</v>
      </c>
      <c r="B3" s="56"/>
    </row>
    <row r="4" spans="1:9" x14ac:dyDescent="0.2">
      <c r="A4" t="s">
        <v>253</v>
      </c>
      <c r="B4">
        <v>0.61821876916629392</v>
      </c>
    </row>
    <row r="5" spans="1:9" x14ac:dyDescent="0.2">
      <c r="A5" t="s">
        <v>254</v>
      </c>
      <c r="B5">
        <v>0.38219444654948742</v>
      </c>
    </row>
    <row r="6" spans="1:9" x14ac:dyDescent="0.2">
      <c r="A6" t="s">
        <v>255</v>
      </c>
      <c r="B6">
        <v>0.36012996249768342</v>
      </c>
    </row>
    <row r="7" spans="1:9" x14ac:dyDescent="0.2">
      <c r="A7" t="s">
        <v>256</v>
      </c>
      <c r="B7">
        <v>25.00032453466639</v>
      </c>
    </row>
    <row r="8" spans="1:9" ht="17" thickBot="1" x14ac:dyDescent="0.25">
      <c r="A8" s="54" t="s">
        <v>257</v>
      </c>
      <c r="B8" s="54">
        <v>30</v>
      </c>
    </row>
    <row r="10" spans="1:9" ht="17" thickBot="1" x14ac:dyDescent="0.25">
      <c r="A10" t="s">
        <v>258</v>
      </c>
    </row>
    <row r="11" spans="1:9" x14ac:dyDescent="0.2">
      <c r="A11" s="55"/>
      <c r="B11" s="55" t="s">
        <v>263</v>
      </c>
      <c r="C11" s="55" t="s">
        <v>264</v>
      </c>
      <c r="D11" s="55" t="s">
        <v>265</v>
      </c>
      <c r="E11" s="55" t="s">
        <v>266</v>
      </c>
      <c r="F11" s="55" t="s">
        <v>267</v>
      </c>
    </row>
    <row r="12" spans="1:9" x14ac:dyDescent="0.2">
      <c r="A12" t="s">
        <v>259</v>
      </c>
      <c r="B12">
        <v>1</v>
      </c>
      <c r="C12">
        <v>10826.345648518021</v>
      </c>
      <c r="D12">
        <v>10826.345648518021</v>
      </c>
      <c r="E12">
        <v>17.321703315253306</v>
      </c>
      <c r="F12">
        <v>2.7180907032359902E-4</v>
      </c>
    </row>
    <row r="13" spans="1:9" x14ac:dyDescent="0.2">
      <c r="A13" t="s">
        <v>260</v>
      </c>
      <c r="B13">
        <v>28</v>
      </c>
      <c r="C13">
        <v>17500.454351481982</v>
      </c>
      <c r="D13">
        <v>625.01622683864218</v>
      </c>
    </row>
    <row r="14" spans="1:9" ht="17" thickBot="1" x14ac:dyDescent="0.25">
      <c r="A14" s="54" t="s">
        <v>261</v>
      </c>
      <c r="B14" s="54">
        <v>29</v>
      </c>
      <c r="C14" s="54">
        <v>28326.800000000003</v>
      </c>
      <c r="D14" s="54"/>
      <c r="E14" s="54"/>
      <c r="F14" s="54"/>
    </row>
    <row r="15" spans="1:9" ht="17" thickBot="1" x14ac:dyDescent="0.25"/>
    <row r="16" spans="1:9" x14ac:dyDescent="0.2">
      <c r="A16" s="55"/>
      <c r="B16" s="55" t="s">
        <v>268</v>
      </c>
      <c r="C16" s="55" t="s">
        <v>256</v>
      </c>
      <c r="D16" s="55" t="s">
        <v>269</v>
      </c>
      <c r="E16" s="55" t="s">
        <v>270</v>
      </c>
      <c r="F16" s="55" t="s">
        <v>271</v>
      </c>
      <c r="G16" s="55" t="s">
        <v>272</v>
      </c>
      <c r="H16" s="55" t="s">
        <v>273</v>
      </c>
      <c r="I16" s="55" t="s">
        <v>274</v>
      </c>
    </row>
    <row r="17" spans="1:9" x14ac:dyDescent="0.2">
      <c r="A17" t="s">
        <v>262</v>
      </c>
      <c r="B17">
        <v>-21.772690589148077</v>
      </c>
      <c r="C17">
        <v>15.712117272243356</v>
      </c>
      <c r="D17">
        <v>-1.3857260744617266</v>
      </c>
      <c r="E17">
        <v>0.17676969563574149</v>
      </c>
      <c r="F17">
        <v>-53.957503822335781</v>
      </c>
      <c r="G17">
        <v>10.412122644039631</v>
      </c>
      <c r="H17">
        <v>-53.957503822335781</v>
      </c>
      <c r="I17">
        <v>10.412122644039631</v>
      </c>
    </row>
    <row r="18" spans="1:9" ht="17" thickBot="1" x14ac:dyDescent="0.25">
      <c r="A18" s="54" t="s">
        <v>120</v>
      </c>
      <c r="B18" s="54">
        <v>4.7732732695544511E-7</v>
      </c>
      <c r="C18" s="54">
        <v>1.1468879784122173E-7</v>
      </c>
      <c r="D18" s="54">
        <v>4.1619350445740126</v>
      </c>
      <c r="E18" s="54">
        <v>2.7180907032359978E-4</v>
      </c>
      <c r="F18" s="54">
        <v>2.4239797437357553E-7</v>
      </c>
      <c r="G18" s="54">
        <v>7.1225667953731474E-7</v>
      </c>
      <c r="H18" s="54">
        <v>2.4239797437357553E-7</v>
      </c>
      <c r="I18" s="54">
        <v>7.1225667953731474E-7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509D9-993E-0A4D-9C4A-23A527D0979E}">
  <dimension ref="A1:I31"/>
  <sheetViews>
    <sheetView tabSelected="1" topLeftCell="A13" zoomScale="157" workbookViewId="0">
      <selection activeCell="B22" sqref="B22:D31"/>
    </sheetView>
  </sheetViews>
  <sheetFormatPr baseColWidth="10" defaultRowHeight="16" x14ac:dyDescent="0.2"/>
  <cols>
    <col min="2" max="2" width="16.6640625" bestFit="1" customWidth="1"/>
    <col min="3" max="3" width="25.33203125" bestFit="1" customWidth="1"/>
    <col min="4" max="4" width="30.6640625" bestFit="1" customWidth="1"/>
  </cols>
  <sheetData>
    <row r="1" spans="1:9" x14ac:dyDescent="0.2">
      <c r="A1" t="s">
        <v>251</v>
      </c>
    </row>
    <row r="2" spans="1:9" ht="17" thickBot="1" x14ac:dyDescent="0.25"/>
    <row r="3" spans="1:9" x14ac:dyDescent="0.2">
      <c r="A3" s="56" t="s">
        <v>252</v>
      </c>
      <c r="B3" s="56"/>
    </row>
    <row r="4" spans="1:9" x14ac:dyDescent="0.2">
      <c r="A4" t="s">
        <v>253</v>
      </c>
      <c r="B4">
        <v>0.61821876916629392</v>
      </c>
    </row>
    <row r="5" spans="1:9" x14ac:dyDescent="0.2">
      <c r="A5" t="s">
        <v>254</v>
      </c>
      <c r="B5">
        <v>0.38219444654948742</v>
      </c>
    </row>
    <row r="6" spans="1:9" x14ac:dyDescent="0.2">
      <c r="A6" t="s">
        <v>255</v>
      </c>
      <c r="B6">
        <v>0.36012996249768342</v>
      </c>
    </row>
    <row r="7" spans="1:9" x14ac:dyDescent="0.2">
      <c r="A7" t="s">
        <v>256</v>
      </c>
      <c r="B7">
        <v>25.00032453466639</v>
      </c>
    </row>
    <row r="8" spans="1:9" ht="17" thickBot="1" x14ac:dyDescent="0.25">
      <c r="A8" s="54" t="s">
        <v>257</v>
      </c>
      <c r="B8" s="54">
        <v>30</v>
      </c>
    </row>
    <row r="10" spans="1:9" ht="17" thickBot="1" x14ac:dyDescent="0.25">
      <c r="A10" t="s">
        <v>258</v>
      </c>
    </row>
    <row r="11" spans="1:9" x14ac:dyDescent="0.2">
      <c r="A11" s="55"/>
      <c r="B11" s="55" t="s">
        <v>263</v>
      </c>
      <c r="C11" s="55" t="s">
        <v>264</v>
      </c>
      <c r="D11" s="55" t="s">
        <v>265</v>
      </c>
      <c r="E11" s="55" t="s">
        <v>266</v>
      </c>
      <c r="F11" s="55" t="s">
        <v>267</v>
      </c>
    </row>
    <row r="12" spans="1:9" x14ac:dyDescent="0.2">
      <c r="A12" t="s">
        <v>259</v>
      </c>
      <c r="B12">
        <v>1</v>
      </c>
      <c r="C12">
        <v>10826.345648518021</v>
      </c>
      <c r="D12">
        <v>10826.345648518021</v>
      </c>
      <c r="E12">
        <v>17.321703315253306</v>
      </c>
      <c r="F12">
        <v>2.7180907032359902E-4</v>
      </c>
    </row>
    <row r="13" spans="1:9" x14ac:dyDescent="0.2">
      <c r="A13" t="s">
        <v>260</v>
      </c>
      <c r="B13">
        <v>28</v>
      </c>
      <c r="C13">
        <v>17500.454351481982</v>
      </c>
      <c r="D13">
        <v>625.01622683864218</v>
      </c>
    </row>
    <row r="14" spans="1:9" ht="17" thickBot="1" x14ac:dyDescent="0.25">
      <c r="A14" s="54" t="s">
        <v>261</v>
      </c>
      <c r="B14" s="54">
        <v>29</v>
      </c>
      <c r="C14" s="54">
        <v>28326.800000000003</v>
      </c>
      <c r="D14" s="54"/>
      <c r="E14" s="54"/>
      <c r="F14" s="54"/>
    </row>
    <row r="15" spans="1:9" ht="17" thickBot="1" x14ac:dyDescent="0.25"/>
    <row r="16" spans="1:9" x14ac:dyDescent="0.2">
      <c r="A16" s="55"/>
      <c r="B16" s="55" t="s">
        <v>268</v>
      </c>
      <c r="C16" s="55" t="s">
        <v>256</v>
      </c>
      <c r="D16" s="55" t="s">
        <v>269</v>
      </c>
      <c r="E16" s="55" t="s">
        <v>270</v>
      </c>
      <c r="F16" s="55" t="s">
        <v>271</v>
      </c>
      <c r="G16" s="55" t="s">
        <v>272</v>
      </c>
      <c r="H16" s="55" t="s">
        <v>273</v>
      </c>
      <c r="I16" s="55" t="s">
        <v>274</v>
      </c>
    </row>
    <row r="17" spans="1:9" x14ac:dyDescent="0.2">
      <c r="A17" t="s">
        <v>262</v>
      </c>
      <c r="B17">
        <v>-21.772690589148084</v>
      </c>
      <c r="C17">
        <v>15.712117272243352</v>
      </c>
      <c r="D17">
        <v>-1.3857260744617272</v>
      </c>
      <c r="E17">
        <v>0.17676969563574094</v>
      </c>
      <c r="F17">
        <v>-53.957503822335781</v>
      </c>
      <c r="G17">
        <v>10.412122644039615</v>
      </c>
      <c r="H17">
        <v>-53.957503822335781</v>
      </c>
      <c r="I17">
        <v>10.412122644039615</v>
      </c>
    </row>
    <row r="18" spans="1:9" ht="17" thickBot="1" x14ac:dyDescent="0.25">
      <c r="A18" s="54" t="s">
        <v>279</v>
      </c>
      <c r="B18" s="54">
        <v>62.572690589148081</v>
      </c>
      <c r="C18" s="54">
        <v>15.034518780086481</v>
      </c>
      <c r="D18" s="54">
        <v>4.1619350445740144</v>
      </c>
      <c r="E18" s="54">
        <v>2.7180907032359902E-4</v>
      </c>
      <c r="F18" s="54">
        <v>31.775874946564205</v>
      </c>
      <c r="G18" s="54">
        <v>93.369506231731961</v>
      </c>
      <c r="H18" s="54">
        <v>31.775874946564205</v>
      </c>
      <c r="I18" s="54">
        <v>93.369506231731961</v>
      </c>
    </row>
    <row r="22" spans="1:9" x14ac:dyDescent="0.2">
      <c r="B22" s="57" t="s">
        <v>277</v>
      </c>
      <c r="C22" s="57" t="s">
        <v>280</v>
      </c>
      <c r="D22" s="57" t="s">
        <v>281</v>
      </c>
    </row>
    <row r="23" spans="1:9" x14ac:dyDescent="0.2">
      <c r="B23" s="57" t="s">
        <v>282</v>
      </c>
      <c r="C23" s="58" t="s">
        <v>283</v>
      </c>
      <c r="D23" s="58" t="s">
        <v>284</v>
      </c>
    </row>
    <row r="24" spans="1:9" x14ac:dyDescent="0.2">
      <c r="B24" s="57" t="s">
        <v>278</v>
      </c>
      <c r="C24" s="58">
        <v>0.38200000000000001</v>
      </c>
      <c r="D24" s="59" t="s">
        <v>285</v>
      </c>
    </row>
    <row r="25" spans="1:9" x14ac:dyDescent="0.2">
      <c r="B25" s="57" t="s">
        <v>286</v>
      </c>
      <c r="C25" s="58">
        <v>0.36</v>
      </c>
      <c r="D25" s="58">
        <v>0.36</v>
      </c>
    </row>
    <row r="26" spans="1:9" x14ac:dyDescent="0.2">
      <c r="B26" s="57" t="s">
        <v>287</v>
      </c>
      <c r="C26" s="58">
        <v>17.32</v>
      </c>
      <c r="D26" s="58">
        <v>17.32</v>
      </c>
    </row>
    <row r="27" spans="1:9" x14ac:dyDescent="0.2">
      <c r="B27" s="57" t="s">
        <v>267</v>
      </c>
      <c r="C27" s="58">
        <v>2.7E-4</v>
      </c>
      <c r="D27" s="58">
        <v>2.7E-4</v>
      </c>
    </row>
    <row r="28" spans="1:9" x14ac:dyDescent="0.2">
      <c r="B28" s="57" t="s">
        <v>288</v>
      </c>
      <c r="C28" s="58" t="s">
        <v>289</v>
      </c>
      <c r="D28" s="59">
        <v>62.57</v>
      </c>
    </row>
    <row r="29" spans="1:9" x14ac:dyDescent="0.2">
      <c r="B29" s="57" t="s">
        <v>290</v>
      </c>
      <c r="C29" s="58">
        <v>2.7E-4</v>
      </c>
      <c r="D29" s="59">
        <v>2.7E-4</v>
      </c>
    </row>
    <row r="30" spans="1:9" x14ac:dyDescent="0.2">
      <c r="B30" s="57" t="s">
        <v>291</v>
      </c>
      <c r="C30" s="58" t="s">
        <v>292</v>
      </c>
      <c r="D30" s="59" t="s">
        <v>293</v>
      </c>
    </row>
    <row r="31" spans="1:9" x14ac:dyDescent="0.2">
      <c r="B31" s="57" t="s">
        <v>257</v>
      </c>
      <c r="C31" s="58">
        <v>30</v>
      </c>
      <c r="D31" s="58">
        <v>30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DE66E-0961-C848-9E5F-9877E7D19568}">
  <dimension ref="A1:Q115"/>
  <sheetViews>
    <sheetView topLeftCell="A85" zoomScale="108" zoomScaleNormal="125" workbookViewId="0">
      <selection activeCell="D87" sqref="D87"/>
    </sheetView>
  </sheetViews>
  <sheetFormatPr baseColWidth="10" defaultRowHeight="16" x14ac:dyDescent="0.2"/>
  <cols>
    <col min="1" max="1" width="19.83203125" bestFit="1" customWidth="1"/>
    <col min="2" max="2" width="33" style="45" bestFit="1" customWidth="1"/>
    <col min="4" max="4" width="16.6640625" bestFit="1" customWidth="1"/>
    <col min="10" max="10" width="17.5" bestFit="1" customWidth="1"/>
    <col min="11" max="11" width="16.33203125" bestFit="1" customWidth="1"/>
    <col min="12" max="13" width="17.83203125" bestFit="1" customWidth="1"/>
    <col min="15" max="15" width="23.5" hidden="1" customWidth="1"/>
    <col min="16" max="16" width="41.6640625" bestFit="1" customWidth="1"/>
    <col min="17" max="17" width="22.33203125" bestFit="1" customWidth="1"/>
  </cols>
  <sheetData>
    <row r="1" spans="1:17" ht="24" x14ac:dyDescent="0.3">
      <c r="A1" s="23" t="s">
        <v>70</v>
      </c>
      <c r="B1" s="42" t="s">
        <v>120</v>
      </c>
      <c r="D1" s="26" t="s">
        <v>123</v>
      </c>
      <c r="E1" s="27" t="s">
        <v>124</v>
      </c>
      <c r="F1" s="27" t="s">
        <v>125</v>
      </c>
      <c r="G1" s="28" t="s">
        <v>126</v>
      </c>
      <c r="I1" s="26" t="s">
        <v>214</v>
      </c>
      <c r="J1" s="27" t="s">
        <v>152</v>
      </c>
      <c r="K1" s="27" t="s">
        <v>213</v>
      </c>
      <c r="L1" s="27" t="s">
        <v>153</v>
      </c>
      <c r="M1" s="28" t="s">
        <v>150</v>
      </c>
      <c r="N1" s="36"/>
      <c r="O1" s="36" t="s">
        <v>70</v>
      </c>
      <c r="P1" s="26" t="s">
        <v>215</v>
      </c>
      <c r="Q1" s="28" t="s">
        <v>216</v>
      </c>
    </row>
    <row r="2" spans="1:17" x14ac:dyDescent="0.2">
      <c r="A2" s="24" t="str">
        <f>'Average Payroll Rankings'!A279</f>
        <v> ARI</v>
      </c>
      <c r="B2" s="43">
        <f>'Average Payroll Rankings'!B279</f>
        <v>106423328.06666666</v>
      </c>
      <c r="D2" s="29">
        <f>'Playoff Apearances  - Win%'!D3</f>
        <v>13</v>
      </c>
      <c r="E2">
        <f>'Playoff Apearances  - Win%'!E3</f>
        <v>13</v>
      </c>
      <c r="F2" s="30">
        <f>'Playoff Apearances  - Win%'!F3</f>
        <v>0.5</v>
      </c>
      <c r="G2" s="31">
        <f>'Playoff Apearances  - Win%'!G3</f>
        <v>26</v>
      </c>
      <c r="I2" s="29">
        <f>'Largest Free Agent Signing'!C2</f>
        <v>6</v>
      </c>
      <c r="J2" s="38">
        <f>'Largest Free Agent Signing'!D2</f>
        <v>210000000</v>
      </c>
      <c r="K2" s="40">
        <f>J2/I2</f>
        <v>35000000</v>
      </c>
      <c r="L2" s="22">
        <f>'Largest Free Agent Signing'!E2</f>
        <v>45654</v>
      </c>
      <c r="M2" s="31" t="str">
        <f>'Largest Free Agent Signing'!B2</f>
        <v>Corbin Burnes</v>
      </c>
      <c r="O2" t="s">
        <v>201</v>
      </c>
      <c r="P2" s="29" t="s">
        <v>225</v>
      </c>
      <c r="Q2" s="46">
        <v>600000000</v>
      </c>
    </row>
    <row r="3" spans="1:17" x14ac:dyDescent="0.2">
      <c r="A3" s="24" t="str">
        <f>'Average Payroll Rankings'!A287</f>
        <v> ATH/OAK</v>
      </c>
      <c r="B3" s="43">
        <f>'Average Payroll Rankings'!B287</f>
        <v>72760230</v>
      </c>
      <c r="D3" s="29">
        <f>'Playoff Apearances  - Win%'!D4</f>
        <v>7</v>
      </c>
      <c r="E3">
        <f>'Playoff Apearances  - Win%'!E4</f>
        <v>13</v>
      </c>
      <c r="F3" s="30">
        <f>'Playoff Apearances  - Win%'!F4</f>
        <v>0.35</v>
      </c>
      <c r="G3" s="31">
        <f>'Playoff Apearances  - Win%'!G4</f>
        <v>20</v>
      </c>
      <c r="I3" s="29">
        <f>'Largest Free Agent Signing'!C3</f>
        <v>3</v>
      </c>
      <c r="J3" s="38">
        <f>'Largest Free Agent Signing'!D3</f>
        <v>67000000</v>
      </c>
      <c r="K3" s="40">
        <f t="shared" ref="K3:K31" si="0">J3/I3</f>
        <v>22333333.333333332</v>
      </c>
      <c r="L3" s="22">
        <f>'Largest Free Agent Signing'!E3</f>
        <v>45631</v>
      </c>
      <c r="M3" s="31" t="str">
        <f>'Largest Free Agent Signing'!B3</f>
        <v>Luis Severino</v>
      </c>
      <c r="O3" t="s">
        <v>203</v>
      </c>
      <c r="P3" s="29" t="s">
        <v>219</v>
      </c>
      <c r="Q3" s="46">
        <v>2600000000</v>
      </c>
    </row>
    <row r="4" spans="1:17" x14ac:dyDescent="0.2">
      <c r="A4" s="24" t="str">
        <f>'Average Payroll Rankings'!A90</f>
        <v> ATL</v>
      </c>
      <c r="B4" s="43">
        <f>'Average Payroll Rankings'!B90</f>
        <v>137132011.13333333</v>
      </c>
      <c r="D4" s="29">
        <f>'Playoff Apearances  - Win%'!D5</f>
        <v>26</v>
      </c>
      <c r="E4">
        <f>'Playoff Apearances  - Win%'!E5</f>
        <v>30</v>
      </c>
      <c r="F4" s="30">
        <f>'Playoff Apearances  - Win%'!F5</f>
        <v>0.46400000000000002</v>
      </c>
      <c r="G4" s="31">
        <f>'Playoff Apearances  - Win%'!G5</f>
        <v>56</v>
      </c>
      <c r="I4" s="29">
        <f>'Largest Free Agent Signing'!C4</f>
        <v>10</v>
      </c>
      <c r="J4" s="38">
        <f>'Largest Free Agent Signing'!D4</f>
        <v>212000000</v>
      </c>
      <c r="K4" s="40">
        <f t="shared" si="0"/>
        <v>21200000</v>
      </c>
      <c r="L4" s="22">
        <f>'Largest Free Agent Signing'!E4</f>
        <v>44774</v>
      </c>
      <c r="M4" s="31" t="str">
        <f>'Largest Free Agent Signing'!B4</f>
        <v>Austin Riley</v>
      </c>
      <c r="O4" t="s">
        <v>191</v>
      </c>
      <c r="P4" s="29" t="s">
        <v>221</v>
      </c>
      <c r="Q4" s="46">
        <v>8000000000</v>
      </c>
    </row>
    <row r="5" spans="1:17" x14ac:dyDescent="0.2">
      <c r="A5" s="24" t="str">
        <f>'Average Payroll Rankings'!A283</f>
        <v> BAL</v>
      </c>
      <c r="B5" s="43">
        <f>'Average Payroll Rankings'!B283</f>
        <v>99300083.266666666</v>
      </c>
      <c r="D5" s="29">
        <f>'Playoff Apearances  - Win%'!D6</f>
        <v>6</v>
      </c>
      <c r="E5">
        <f>'Playoff Apearances  - Win%'!E6</f>
        <v>13</v>
      </c>
      <c r="F5" s="30">
        <f>'Playoff Apearances  - Win%'!F6</f>
        <v>0.316</v>
      </c>
      <c r="G5" s="31">
        <f>'Playoff Apearances  - Win%'!G6</f>
        <v>19</v>
      </c>
      <c r="I5" s="29">
        <f>'Largest Free Agent Signing'!C5</f>
        <v>7</v>
      </c>
      <c r="J5" s="38">
        <f>'Largest Free Agent Signing'!D5</f>
        <v>161000000</v>
      </c>
      <c r="K5" s="40">
        <f t="shared" si="0"/>
        <v>23000000</v>
      </c>
      <c r="L5" s="22">
        <f>'Largest Free Agent Signing'!E5</f>
        <v>42390</v>
      </c>
      <c r="M5" s="31" t="str">
        <f>'Largest Free Agent Signing'!B5</f>
        <v>Chris Davis</v>
      </c>
      <c r="O5" t="s">
        <v>211</v>
      </c>
      <c r="P5" s="29" t="s">
        <v>233</v>
      </c>
      <c r="Q5" s="46">
        <v>2000000000</v>
      </c>
    </row>
    <row r="6" spans="1:17" x14ac:dyDescent="0.2">
      <c r="A6" s="24" t="str">
        <f>'Average Payroll Rankings'!A4</f>
        <v> BOS</v>
      </c>
      <c r="B6" s="43">
        <f>'Average Payroll Rankings'!B4</f>
        <v>188257976.07142857</v>
      </c>
      <c r="D6" s="29">
        <f>'Playoff Apearances  - Win%'!D7</f>
        <v>30</v>
      </c>
      <c r="E6">
        <f>'Playoff Apearances  - Win%'!E7</f>
        <v>21</v>
      </c>
      <c r="F6" s="30">
        <f>'Playoff Apearances  - Win%'!F7</f>
        <v>0.58799999999999997</v>
      </c>
      <c r="G6" s="31">
        <f>'Playoff Apearances  - Win%'!G7</f>
        <v>51</v>
      </c>
      <c r="I6" s="29">
        <f>'Largest Free Agent Signing'!C6</f>
        <v>10</v>
      </c>
      <c r="J6" s="38">
        <f>'Largest Free Agent Signing'!D6</f>
        <v>313500000</v>
      </c>
      <c r="K6" s="40">
        <f t="shared" si="0"/>
        <v>31350000</v>
      </c>
      <c r="L6" s="22">
        <f>'Largest Free Agent Signing'!E6</f>
        <v>44930</v>
      </c>
      <c r="M6" s="31" t="str">
        <f>'Largest Free Agent Signing'!B6</f>
        <v>Rafael Devers</v>
      </c>
      <c r="O6" t="s">
        <v>189</v>
      </c>
      <c r="P6" s="29" t="s">
        <v>238</v>
      </c>
      <c r="Q6" s="46">
        <v>3600000000</v>
      </c>
    </row>
    <row r="7" spans="1:17" x14ac:dyDescent="0.2">
      <c r="A7" s="24" t="str">
        <f>'Average Payroll Rankings'!A86</f>
        <v> CHC</v>
      </c>
      <c r="B7" s="43">
        <f>'Average Payroll Rankings'!B86</f>
        <v>158070425.06666666</v>
      </c>
      <c r="D7" s="29">
        <f>'Playoff Apearances  - Win%'!D8</f>
        <v>23</v>
      </c>
      <c r="E7">
        <f>'Playoff Apearances  - Win%'!E8</f>
        <v>24</v>
      </c>
      <c r="F7" s="30">
        <f>'Playoff Apearances  - Win%'!F8</f>
        <v>0.48899999999999999</v>
      </c>
      <c r="G7" s="31">
        <f>'Playoff Apearances  - Win%'!G8</f>
        <v>47</v>
      </c>
      <c r="I7" s="29">
        <f>'Largest Free Agent Signing'!C7</f>
        <v>8</v>
      </c>
      <c r="J7" s="38">
        <f>'Largest Free Agent Signing'!D7</f>
        <v>184000000</v>
      </c>
      <c r="K7" s="40">
        <f t="shared" si="0"/>
        <v>23000000</v>
      </c>
      <c r="L7" s="22">
        <f>'Largest Free Agent Signing'!E7</f>
        <v>42353</v>
      </c>
      <c r="M7" s="31" t="str">
        <f>'Largest Free Agent Signing'!B7</f>
        <v>Jason Heyward</v>
      </c>
      <c r="O7" t="s">
        <v>194</v>
      </c>
      <c r="P7" s="29" t="s">
        <v>224</v>
      </c>
      <c r="Q7" s="46">
        <v>4500000000</v>
      </c>
    </row>
    <row r="8" spans="1:17" x14ac:dyDescent="0.2">
      <c r="A8" s="24" t="str">
        <f>'Average Payroll Rankings'!A97</f>
        <v> CHW</v>
      </c>
      <c r="B8" s="43">
        <f>'Average Payroll Rankings'!B97</f>
        <v>114527835.59999999</v>
      </c>
      <c r="D8" s="29">
        <f>'Playoff Apearances  - Win%'!D9</f>
        <v>2</v>
      </c>
      <c r="E8">
        <f>'Playoff Apearances  - Win%'!E9</f>
        <v>5</v>
      </c>
      <c r="F8" s="30">
        <f>'Playoff Apearances  - Win%'!F9</f>
        <v>0.2857142857142857</v>
      </c>
      <c r="G8" s="31">
        <f>'Playoff Apearances  - Win%'!G9</f>
        <v>7</v>
      </c>
      <c r="I8" s="29">
        <f>'Largest Free Agent Signing'!C8</f>
        <v>5</v>
      </c>
      <c r="J8" s="38">
        <f>'Largest Free Agent Signing'!D8</f>
        <v>75000000</v>
      </c>
      <c r="K8" s="40">
        <f t="shared" si="0"/>
        <v>15000000</v>
      </c>
      <c r="L8" s="22">
        <f>'Largest Free Agent Signing'!E8</f>
        <v>44911</v>
      </c>
      <c r="M8" s="31" t="str">
        <f>'Largest Free Agent Signing'!B8</f>
        <v>Andrew Benintendi</v>
      </c>
      <c r="O8" t="s">
        <v>208</v>
      </c>
      <c r="P8" s="29" t="s">
        <v>244</v>
      </c>
      <c r="Q8" s="46">
        <v>1700000000</v>
      </c>
    </row>
    <row r="9" spans="1:17" x14ac:dyDescent="0.2">
      <c r="A9" s="24" t="str">
        <f>'Average Payroll Rankings'!A282</f>
        <v> CIN</v>
      </c>
      <c r="B9" s="43">
        <f>'Average Payroll Rankings'!B282</f>
        <v>101999983.2</v>
      </c>
      <c r="D9" s="29">
        <f>'Playoff Apearances  - Win%'!D10</f>
        <v>2</v>
      </c>
      <c r="E9">
        <f>'Playoff Apearances  - Win%'!E10</f>
        <v>9</v>
      </c>
      <c r="F9" s="30">
        <f>'Playoff Apearances  - Win%'!F10</f>
        <v>0.18181818181818182</v>
      </c>
      <c r="G9" s="31">
        <f>'Playoff Apearances  - Win%'!G10</f>
        <v>11</v>
      </c>
      <c r="I9" s="29">
        <f>'Largest Free Agent Signing'!C9</f>
        <v>10</v>
      </c>
      <c r="J9" s="38">
        <f>'Largest Free Agent Signing'!D9</f>
        <v>225000000</v>
      </c>
      <c r="K9" s="40">
        <f t="shared" si="0"/>
        <v>22500000</v>
      </c>
      <c r="L9" s="22">
        <f>'Largest Free Agent Signing'!E9</f>
        <v>41001</v>
      </c>
      <c r="M9" s="31" t="str">
        <f>'Largest Free Agent Signing'!B9</f>
        <v>Joey Votto</v>
      </c>
      <c r="O9" t="s">
        <v>205</v>
      </c>
      <c r="P9" s="29" t="s">
        <v>239</v>
      </c>
      <c r="Q9" s="46">
        <v>400000000</v>
      </c>
    </row>
    <row r="10" spans="1:17" x14ac:dyDescent="0.2">
      <c r="A10" s="24" t="str">
        <f>'Average Payroll Rankings'!A284</f>
        <v> CLE</v>
      </c>
      <c r="B10" s="43">
        <f>'Average Payroll Rankings'!B284</f>
        <v>88724100.733333334</v>
      </c>
      <c r="D10" s="29">
        <f>'Playoff Apearances  - Win%'!D11</f>
        <v>21</v>
      </c>
      <c r="E10">
        <f>'Playoff Apearances  - Win%'!E11</f>
        <v>25</v>
      </c>
      <c r="F10" s="30">
        <f>'Playoff Apearances  - Win%'!F11</f>
        <v>0.45700000000000002</v>
      </c>
      <c r="G10" s="31">
        <f>'Playoff Apearances  - Win%'!G11</f>
        <v>46</v>
      </c>
      <c r="I10" s="29">
        <f>'Largest Free Agent Signing'!C10</f>
        <v>7</v>
      </c>
      <c r="J10" s="38">
        <f>'Largest Free Agent Signing'!D10</f>
        <v>129000000</v>
      </c>
      <c r="K10" s="40">
        <f t="shared" si="0"/>
        <v>18428571.428571429</v>
      </c>
      <c r="L10" s="22">
        <f>'Largest Free Agent Signing'!E10</f>
        <v>44657</v>
      </c>
      <c r="M10" s="31" t="str">
        <f>'Largest Free Agent Signing'!B10</f>
        <v>Jose Ramirez</v>
      </c>
      <c r="O10" t="s">
        <v>195</v>
      </c>
      <c r="P10" s="29" t="s">
        <v>228</v>
      </c>
      <c r="Q10" s="46">
        <v>4600000000</v>
      </c>
    </row>
    <row r="11" spans="1:17" x14ac:dyDescent="0.2">
      <c r="A11" s="24" t="str">
        <f>'Average Payroll Rankings'!A96</f>
        <v> COL</v>
      </c>
      <c r="B11" s="43">
        <f>'Average Payroll Rankings'!B96</f>
        <v>117714881</v>
      </c>
      <c r="D11" s="29">
        <f>'Playoff Apearances  - Win%'!D12</f>
        <v>1</v>
      </c>
      <c r="E11">
        <f>'Playoff Apearances  - Win%'!E12</f>
        <v>1</v>
      </c>
      <c r="F11" s="30">
        <f>'Playoff Apearances  - Win%'!F12</f>
        <v>0.5</v>
      </c>
      <c r="G11" s="31">
        <f>'Playoff Apearances  - Win%'!G12</f>
        <v>2</v>
      </c>
      <c r="I11" s="29">
        <f>'Largest Free Agent Signing'!C11</f>
        <v>7</v>
      </c>
      <c r="J11" s="38">
        <f>'Largest Free Agent Signing'!D11</f>
        <v>234000000</v>
      </c>
      <c r="K11" s="40">
        <f t="shared" si="0"/>
        <v>33428571.428571429</v>
      </c>
      <c r="L11" s="22">
        <f>'Largest Free Agent Signing'!E11</f>
        <v>43522</v>
      </c>
      <c r="M11" s="31" t="str">
        <f>'Largest Free Agent Signing'!B11</f>
        <v>Nolan Arenado</v>
      </c>
      <c r="O11" t="s">
        <v>206</v>
      </c>
      <c r="P11" s="29" t="s">
        <v>240</v>
      </c>
      <c r="Q11" s="46">
        <v>700000000</v>
      </c>
    </row>
    <row r="12" spans="1:17" x14ac:dyDescent="0.2">
      <c r="A12" s="24" t="str">
        <f>'Average Payroll Rankings'!A92</f>
        <v> DET</v>
      </c>
      <c r="B12" s="43">
        <f>'Average Payroll Rankings'!B92</f>
        <v>134997503.86666667</v>
      </c>
      <c r="D12" s="29">
        <f>'Playoff Apearances  - Win%'!D13</f>
        <v>25</v>
      </c>
      <c r="E12">
        <f>'Playoff Apearances  - Win%'!E13</f>
        <v>28</v>
      </c>
      <c r="F12" s="30">
        <f>'Playoff Apearances  - Win%'!F13</f>
        <v>0.47199999999999998</v>
      </c>
      <c r="G12" s="31">
        <f>'Playoff Apearances  - Win%'!G13</f>
        <v>53</v>
      </c>
      <c r="I12" s="29">
        <f>'Largest Free Agent Signing'!C12</f>
        <v>8</v>
      </c>
      <c r="J12" s="38">
        <f>'Largest Free Agent Signing'!D12</f>
        <v>248000000</v>
      </c>
      <c r="K12" s="40">
        <f t="shared" si="0"/>
        <v>31000000</v>
      </c>
      <c r="L12" s="22">
        <f>'Largest Free Agent Signing'!E12</f>
        <v>41729</v>
      </c>
      <c r="M12" s="31" t="str">
        <f>'Largest Free Agent Signing'!B12</f>
        <v>Miguel Cabrera</v>
      </c>
      <c r="O12" t="s">
        <v>212</v>
      </c>
      <c r="P12" s="29" t="s">
        <v>242</v>
      </c>
      <c r="Q12" s="46">
        <v>3800000000</v>
      </c>
    </row>
    <row r="13" spans="1:17" x14ac:dyDescent="0.2">
      <c r="A13" s="24" t="str">
        <f>'Average Payroll Rankings'!A285</f>
        <v> FLA/ MIA</v>
      </c>
      <c r="B13" s="43">
        <f>'Average Payroll Rankings'!B285</f>
        <v>75294152.066666663</v>
      </c>
      <c r="D13" s="29">
        <f>'Playoff Apearances  - Win%'!D14</f>
        <v>2</v>
      </c>
      <c r="E13">
        <f>'Playoff Apearances  - Win%'!E14</f>
        <v>3</v>
      </c>
      <c r="F13" s="30">
        <f>'Playoff Apearances  - Win%'!F14</f>
        <v>0.4</v>
      </c>
      <c r="G13" s="31">
        <f>'Playoff Apearances  - Win%'!G14</f>
        <v>5</v>
      </c>
      <c r="I13" s="29">
        <f>'Largest Free Agent Signing'!C13</f>
        <v>13</v>
      </c>
      <c r="J13" s="38">
        <f>'Largest Free Agent Signing'!D13</f>
        <v>325000000</v>
      </c>
      <c r="K13" s="40">
        <f t="shared" si="0"/>
        <v>25000000</v>
      </c>
      <c r="L13" s="22">
        <f>'Largest Free Agent Signing'!E13</f>
        <v>41961</v>
      </c>
      <c r="M13" s="31" t="str">
        <f>'Largest Free Agent Signing'!B13</f>
        <v>Giancarlo Stanton</v>
      </c>
      <c r="O13" t="s">
        <v>204</v>
      </c>
      <c r="P13" s="29" t="s">
        <v>230</v>
      </c>
      <c r="Q13" s="46">
        <v>500000000</v>
      </c>
    </row>
    <row r="14" spans="1:17" x14ac:dyDescent="0.2">
      <c r="A14" s="24" t="str">
        <f>'Average Payroll Rankings'!A91</f>
        <v> HOU</v>
      </c>
      <c r="B14" s="43">
        <f>'Average Payroll Rankings'!B91</f>
        <v>136585891.13333333</v>
      </c>
      <c r="D14" s="29">
        <f>'Playoff Apearances  - Win%'!D15</f>
        <v>62</v>
      </c>
      <c r="E14">
        <f>'Playoff Apearances  - Win%'!E15</f>
        <v>43</v>
      </c>
      <c r="F14" s="30">
        <f>'Playoff Apearances  - Win%'!F15</f>
        <v>0.59</v>
      </c>
      <c r="G14" s="31">
        <f>'Playoff Apearances  - Win%'!G15</f>
        <v>105</v>
      </c>
      <c r="I14" s="29">
        <f>'Largest Free Agent Signing'!C14</f>
        <v>6</v>
      </c>
      <c r="J14" s="38">
        <f>'Largest Free Agent Signing'!D14</f>
        <v>157500000</v>
      </c>
      <c r="K14" s="40">
        <f t="shared" si="0"/>
        <v>26250000</v>
      </c>
      <c r="L14" s="22">
        <f>'Largest Free Agent Signing'!E14</f>
        <v>43179</v>
      </c>
      <c r="M14" s="31" t="str">
        <f>'Largest Free Agent Signing'!B14</f>
        <v>Jose Altuve</v>
      </c>
      <c r="O14" t="s">
        <v>185</v>
      </c>
      <c r="P14" s="29" t="s">
        <v>218</v>
      </c>
      <c r="Q14" s="46">
        <v>1400000000</v>
      </c>
    </row>
    <row r="15" spans="1:17" x14ac:dyDescent="0.2">
      <c r="A15" s="24" t="str">
        <f>'Average Payroll Rankings'!A281</f>
        <v> KC</v>
      </c>
      <c r="B15" s="43">
        <f>'Average Payroll Rankings'!B281</f>
        <v>102048448.53333333</v>
      </c>
      <c r="D15" s="29">
        <f>'Playoff Apearances  - Win%'!D16</f>
        <v>25</v>
      </c>
      <c r="E15">
        <f>'Playoff Apearances  - Win%'!E16</f>
        <v>12</v>
      </c>
      <c r="F15" s="30">
        <f>'Playoff Apearances  - Win%'!F16</f>
        <v>0.67600000000000005</v>
      </c>
      <c r="G15" s="31">
        <f>'Playoff Apearances  - Win%'!G16</f>
        <v>37</v>
      </c>
      <c r="I15" s="29">
        <f>'Largest Free Agent Signing'!C15</f>
        <v>11</v>
      </c>
      <c r="J15" s="38">
        <f>'Largest Free Agent Signing'!D15</f>
        <v>289000000</v>
      </c>
      <c r="K15" s="40">
        <f t="shared" si="0"/>
        <v>26272727.272727273</v>
      </c>
      <c r="L15" s="22">
        <f>'Largest Free Agent Signing'!E15</f>
        <v>45327</v>
      </c>
      <c r="M15" s="31" t="str">
        <f>'Largest Free Agent Signing'!B15</f>
        <v>Bobby Witt Jr.</v>
      </c>
      <c r="O15" t="s">
        <v>192</v>
      </c>
      <c r="P15" s="29" t="s">
        <v>241</v>
      </c>
      <c r="Q15" s="46">
        <v>1250000000</v>
      </c>
    </row>
    <row r="16" spans="1:17" x14ac:dyDescent="0.2">
      <c r="A16" s="24" t="str">
        <f>'Average Payroll Rankings'!A85</f>
        <v> LAA</v>
      </c>
      <c r="B16" s="43">
        <f>'Average Payroll Rankings'!B85</f>
        <v>164645919.53333333</v>
      </c>
      <c r="D16" s="29">
        <f>'Playoff Apearances  - Win%'!D17</f>
        <v>0</v>
      </c>
      <c r="E16">
        <f>'Playoff Apearances  - Win%'!E17</f>
        <v>0</v>
      </c>
      <c r="F16" s="30">
        <f>'Playoff Apearances  - Win%'!F17</f>
        <v>0</v>
      </c>
      <c r="G16" s="31">
        <f>'Playoff Apearances  - Win%'!G17</f>
        <v>0</v>
      </c>
      <c r="I16" s="29">
        <f>'Largest Free Agent Signing'!C16</f>
        <v>10</v>
      </c>
      <c r="J16" s="38">
        <f>'Largest Free Agent Signing'!D16</f>
        <v>360000000</v>
      </c>
      <c r="K16" s="40">
        <f t="shared" si="0"/>
        <v>36000000</v>
      </c>
      <c r="L16" s="22">
        <f>'Largest Free Agent Signing'!E16</f>
        <v>43545</v>
      </c>
      <c r="M16" s="31" t="str">
        <f>'Largest Free Agent Signing'!B16</f>
        <v>Mike Trout</v>
      </c>
      <c r="O16" t="s">
        <v>207</v>
      </c>
      <c r="P16" s="29" t="s">
        <v>217</v>
      </c>
      <c r="Q16" s="46">
        <v>3600000000</v>
      </c>
    </row>
    <row r="17" spans="1:17" x14ac:dyDescent="0.2">
      <c r="A17" s="24" t="str">
        <f>'Average Payroll Rankings'!A2</f>
        <v> LAD</v>
      </c>
      <c r="B17" s="43">
        <f>'Average Payroll Rankings'!B2</f>
        <v>229894653.40000001</v>
      </c>
      <c r="D17" s="29">
        <f>'Playoff Apearances  - Win%'!D18</f>
        <v>77</v>
      </c>
      <c r="E17">
        <f>'Playoff Apearances  - Win%'!E18</f>
        <v>59</v>
      </c>
      <c r="F17" s="30">
        <f>'Playoff Apearances  - Win%'!F18</f>
        <v>0.56599999999999995</v>
      </c>
      <c r="G17" s="31">
        <f>'Playoff Apearances  - Win%'!G18</f>
        <v>136</v>
      </c>
      <c r="I17" s="29">
        <f>'Largest Free Agent Signing'!C17</f>
        <v>10</v>
      </c>
      <c r="J17" s="38">
        <f>'Largest Free Agent Signing'!D17</f>
        <v>700000000</v>
      </c>
      <c r="K17" s="40">
        <f t="shared" si="0"/>
        <v>70000000</v>
      </c>
      <c r="L17" s="22">
        <f>'Largest Free Agent Signing'!E17</f>
        <v>45269</v>
      </c>
      <c r="M17" s="31" t="str">
        <f>'Largest Free Agent Signing'!B17</f>
        <v>Shohei Ohtani</v>
      </c>
      <c r="O17" t="s">
        <v>184</v>
      </c>
      <c r="P17" s="29" t="s">
        <v>226</v>
      </c>
      <c r="Q17" s="46">
        <v>5000000000</v>
      </c>
    </row>
    <row r="18" spans="1:17" x14ac:dyDescent="0.2">
      <c r="A18" s="24" t="str">
        <f>'Average Payroll Rankings'!A280</f>
        <v> MIL</v>
      </c>
      <c r="B18" s="43">
        <f>'Average Payroll Rankings'!B280</f>
        <v>102423038.93333334</v>
      </c>
      <c r="D18" s="29">
        <f>'Playoff Apearances  - Win%'!D19</f>
        <v>16</v>
      </c>
      <c r="E18">
        <f>'Playoff Apearances  - Win%'!E19</f>
        <v>26</v>
      </c>
      <c r="F18" s="30">
        <f>'Playoff Apearances  - Win%'!F19</f>
        <v>0.38100000000000001</v>
      </c>
      <c r="G18" s="31">
        <f>'Playoff Apearances  - Win%'!G19</f>
        <v>42</v>
      </c>
      <c r="I18" s="29">
        <f>'Largest Free Agent Signing'!C18</f>
        <v>7</v>
      </c>
      <c r="J18" s="38">
        <f>'Largest Free Agent Signing'!D18</f>
        <v>188500000</v>
      </c>
      <c r="K18" s="40">
        <f t="shared" si="0"/>
        <v>26928571.428571429</v>
      </c>
      <c r="L18" s="22">
        <f>'Largest Free Agent Signing'!E18</f>
        <v>43896</v>
      </c>
      <c r="M18" s="31" t="str">
        <f>'Largest Free Agent Signing'!B18</f>
        <v>Christian Yelich</v>
      </c>
      <c r="O18" t="s">
        <v>199</v>
      </c>
      <c r="P18" s="29" t="s">
        <v>222</v>
      </c>
      <c r="Q18" s="46">
        <v>700000000</v>
      </c>
    </row>
    <row r="19" spans="1:17" x14ac:dyDescent="0.2">
      <c r="A19" s="24" t="str">
        <f>'Average Payroll Rankings'!A98</f>
        <v> MIN</v>
      </c>
      <c r="B19" s="43">
        <f>'Average Payroll Rankings'!B98</f>
        <v>113605922.8</v>
      </c>
      <c r="D19" s="29">
        <f>'Playoff Apearances  - Win%'!D20</f>
        <v>3</v>
      </c>
      <c r="E19">
        <f>'Playoff Apearances  - Win%'!E20</f>
        <v>12</v>
      </c>
      <c r="F19" s="30">
        <f>'Playoff Apearances  - Win%'!F20</f>
        <v>0.2</v>
      </c>
      <c r="G19" s="31">
        <f>'Playoff Apearances  - Win%'!G20</f>
        <v>15</v>
      </c>
      <c r="I19" s="29">
        <f>'Largest Free Agent Signing'!C19</f>
        <v>6</v>
      </c>
      <c r="J19" s="38">
        <f>'Largest Free Agent Signing'!D19</f>
        <v>200000000</v>
      </c>
      <c r="K19" s="40">
        <f t="shared" si="0"/>
        <v>33333333.333333332</v>
      </c>
      <c r="L19" s="22">
        <f>'Largest Free Agent Signing'!E19</f>
        <v>44936</v>
      </c>
      <c r="M19" s="31" t="str">
        <f>'Largest Free Agent Signing'!B19</f>
        <v>Carlos Correa</v>
      </c>
      <c r="O19" t="s">
        <v>209</v>
      </c>
      <c r="P19" s="29" t="s">
        <v>243</v>
      </c>
      <c r="Q19" s="46">
        <v>3800000000</v>
      </c>
    </row>
    <row r="20" spans="1:17" x14ac:dyDescent="0.2">
      <c r="A20" s="24" t="str">
        <f>'Average Payroll Rankings'!A5</f>
        <v> NYM</v>
      </c>
      <c r="B20" s="43">
        <f>'Average Payroll Rankings'!B5</f>
        <v>180637794.13333333</v>
      </c>
      <c r="D20" s="29">
        <f>'Playoff Apearances  - Win%'!D21</f>
        <v>16</v>
      </c>
      <c r="E20">
        <f>'Playoff Apearances  - Win%'!E21</f>
        <v>15</v>
      </c>
      <c r="F20" s="30">
        <f>'Playoff Apearances  - Win%'!F21</f>
        <v>0.51600000000000001</v>
      </c>
      <c r="G20" s="31">
        <f>'Playoff Apearances  - Win%'!G21</f>
        <v>31</v>
      </c>
      <c r="I20" s="29">
        <f>'Largest Free Agent Signing'!C20</f>
        <v>15</v>
      </c>
      <c r="J20" s="38">
        <f>'Largest Free Agent Signing'!D20</f>
        <v>765000000</v>
      </c>
      <c r="K20" s="40">
        <f t="shared" si="0"/>
        <v>51000000</v>
      </c>
      <c r="L20" s="22">
        <f>'Largest Free Agent Signing'!E20</f>
        <v>45634</v>
      </c>
      <c r="M20" s="31" t="str">
        <f>'Largest Free Agent Signing'!B20</f>
        <v>Juan Soto</v>
      </c>
      <c r="O20" t="s">
        <v>198</v>
      </c>
      <c r="P20" s="29" t="s">
        <v>231</v>
      </c>
      <c r="Q20" s="46">
        <v>15900000000</v>
      </c>
    </row>
    <row r="21" spans="1:17" x14ac:dyDescent="0.2">
      <c r="A21" s="24" t="str">
        <f>'Average Payroll Rankings'!A3</f>
        <v> NYY</v>
      </c>
      <c r="B21" s="43">
        <f>'Average Payroll Rankings'!B3</f>
        <v>209023728.25</v>
      </c>
      <c r="D21" s="29">
        <f>'Playoff Apearances  - Win%'!D22</f>
        <v>42</v>
      </c>
      <c r="E21">
        <f>'Playoff Apearances  - Win%'!E22</f>
        <v>47</v>
      </c>
      <c r="F21" s="30">
        <f>'Playoff Apearances  - Win%'!F22</f>
        <v>0.47199999999999998</v>
      </c>
      <c r="G21" s="31">
        <f>'Playoff Apearances  - Win%'!G22</f>
        <v>89</v>
      </c>
      <c r="I21" s="29">
        <f>'Largest Free Agent Signing'!C21</f>
        <v>9</v>
      </c>
      <c r="J21" s="38">
        <f>'Largest Free Agent Signing'!D21</f>
        <v>360000000</v>
      </c>
      <c r="K21" s="40">
        <f t="shared" si="0"/>
        <v>40000000</v>
      </c>
      <c r="L21" s="22">
        <f>'Largest Free Agent Signing'!E21</f>
        <v>44902</v>
      </c>
      <c r="M21" s="31" t="str">
        <f>'Largest Free Agent Signing'!B21</f>
        <v>Aaron Judge</v>
      </c>
      <c r="O21" t="s">
        <v>186</v>
      </c>
      <c r="P21" s="29" t="s">
        <v>245</v>
      </c>
      <c r="Q21" s="46">
        <v>3800000000</v>
      </c>
    </row>
    <row r="22" spans="1:17" x14ac:dyDescent="0.2">
      <c r="A22" s="24" t="str">
        <f>'Average Payroll Rankings'!A6</f>
        <v> PHI</v>
      </c>
      <c r="B22" s="43">
        <f>'Average Payroll Rankings'!B6</f>
        <v>172716183.06666666</v>
      </c>
      <c r="D22" s="29">
        <f>'Playoff Apearances  - Win%'!D23</f>
        <v>28</v>
      </c>
      <c r="E22">
        <f>'Playoff Apearances  - Win%'!E23</f>
        <v>24</v>
      </c>
      <c r="F22" s="30">
        <f>'Playoff Apearances  - Win%'!F23</f>
        <v>0.53800000000000003</v>
      </c>
      <c r="G22" s="31">
        <f>'Playoff Apearances  - Win%'!G23</f>
        <v>52</v>
      </c>
      <c r="I22" s="29">
        <f>'Largest Free Agent Signing'!C22</f>
        <v>13</v>
      </c>
      <c r="J22" s="38">
        <f>'Largest Free Agent Signing'!D22</f>
        <v>330000000</v>
      </c>
      <c r="K22" s="40">
        <f t="shared" si="0"/>
        <v>25384615.384615384</v>
      </c>
      <c r="L22" s="22">
        <f>'Largest Free Agent Signing'!E22</f>
        <v>43524</v>
      </c>
      <c r="M22" s="31" t="str">
        <f>'Largest Free Agent Signing'!B22</f>
        <v>Bryce Harper</v>
      </c>
      <c r="O22" t="s">
        <v>190</v>
      </c>
      <c r="P22" s="29" t="s">
        <v>235</v>
      </c>
      <c r="Q22" s="46">
        <v>3400000000</v>
      </c>
    </row>
    <row r="23" spans="1:17" x14ac:dyDescent="0.2">
      <c r="A23" s="24" t="str">
        <f>'Average Payroll Rankings'!A286</f>
        <v> PIT</v>
      </c>
      <c r="B23" s="43">
        <f>'Average Payroll Rankings'!B286</f>
        <v>73389085</v>
      </c>
      <c r="D23" s="29">
        <f>'Playoff Apearances  - Win%'!D24</f>
        <v>3</v>
      </c>
      <c r="E23">
        <f>'Playoff Apearances  - Win%'!E24</f>
        <v>5</v>
      </c>
      <c r="F23" s="30">
        <f>'Playoff Apearances  - Win%'!F24</f>
        <v>0.375</v>
      </c>
      <c r="G23" s="31">
        <f>'Playoff Apearances  - Win%'!G24</f>
        <v>8</v>
      </c>
      <c r="I23" s="29">
        <f>'Largest Free Agent Signing'!C23</f>
        <v>7</v>
      </c>
      <c r="J23" s="38">
        <f>'Largest Free Agent Signing'!D23</f>
        <v>100000000</v>
      </c>
      <c r="K23" s="40">
        <f t="shared" si="0"/>
        <v>14285714.285714285</v>
      </c>
      <c r="L23" s="22">
        <f>'Largest Free Agent Signing'!E23</f>
        <v>45042</v>
      </c>
      <c r="M23" s="31" t="str">
        <f>'Largest Free Agent Signing'!B23</f>
        <v>Bryan Reynolds</v>
      </c>
      <c r="O23" t="s">
        <v>210</v>
      </c>
      <c r="P23" s="29" t="s">
        <v>236</v>
      </c>
      <c r="Q23" s="46">
        <v>1100000000</v>
      </c>
    </row>
    <row r="24" spans="1:17" x14ac:dyDescent="0.2">
      <c r="A24" s="24" t="str">
        <f>'Average Payroll Rankings'!A94</f>
        <v> SD</v>
      </c>
      <c r="B24" s="43">
        <f>'Average Payroll Rankings'!B94</f>
        <v>124571453.46666667</v>
      </c>
      <c r="D24" s="29">
        <f>'Playoff Apearances  - Win%'!D25</f>
        <v>13</v>
      </c>
      <c r="E24">
        <f>'Playoff Apearances  - Win%'!E25</f>
        <v>15</v>
      </c>
      <c r="F24" s="30">
        <f>'Playoff Apearances  - Win%'!F25</f>
        <v>0.46400000000000002</v>
      </c>
      <c r="G24" s="31">
        <f>'Playoff Apearances  - Win%'!G25</f>
        <v>28</v>
      </c>
      <c r="I24" s="29">
        <f>'Largest Free Agent Signing'!C24</f>
        <v>14</v>
      </c>
      <c r="J24" s="38">
        <f>'Largest Free Agent Signing'!D24</f>
        <v>340000000</v>
      </c>
      <c r="K24" s="40">
        <f t="shared" si="0"/>
        <v>24285714.285714287</v>
      </c>
      <c r="L24" s="22">
        <f>'Largest Free Agent Signing'!E24</f>
        <v>44249</v>
      </c>
      <c r="M24" s="31" t="str">
        <f>'Largest Free Agent Signing'!B24</f>
        <v>Fernando Tatis Jr.</v>
      </c>
      <c r="O24" t="s">
        <v>200</v>
      </c>
      <c r="P24" s="29" t="s">
        <v>234</v>
      </c>
      <c r="Q24" s="46">
        <v>3000000000</v>
      </c>
    </row>
    <row r="25" spans="1:17" x14ac:dyDescent="0.2">
      <c r="A25" s="24" t="str">
        <f>'Average Payroll Rankings'!A95</f>
        <v> SEA</v>
      </c>
      <c r="B25" s="43">
        <f>'Average Payroll Rankings'!B95</f>
        <v>120914727.13333334</v>
      </c>
      <c r="D25" s="29">
        <f>'Playoff Apearances  - Win%'!D26</f>
        <v>8</v>
      </c>
      <c r="E25">
        <f>'Playoff Apearances  - Win%'!E26</f>
        <v>9</v>
      </c>
      <c r="F25" s="30">
        <f>'Playoff Apearances  - Win%'!F26</f>
        <v>0.47099999999999997</v>
      </c>
      <c r="G25" s="31">
        <f>'Playoff Apearances  - Win%'!G26</f>
        <v>17</v>
      </c>
      <c r="I25" s="29">
        <f>'Largest Free Agent Signing'!C25</f>
        <v>10</v>
      </c>
      <c r="J25" s="38">
        <f>'Largest Free Agent Signing'!D25</f>
        <v>240000000</v>
      </c>
      <c r="K25" s="40">
        <f t="shared" si="0"/>
        <v>24000000</v>
      </c>
      <c r="L25" s="22">
        <f>'Largest Free Agent Signing'!E25</f>
        <v>41620</v>
      </c>
      <c r="M25" s="31" t="str">
        <f>'Largest Free Agent Signing'!B25</f>
        <v>Robinson Cano</v>
      </c>
      <c r="O25" t="s">
        <v>202</v>
      </c>
      <c r="P25" s="29" t="s">
        <v>229</v>
      </c>
      <c r="Q25" s="46">
        <v>1100000000</v>
      </c>
    </row>
    <row r="26" spans="1:17" x14ac:dyDescent="0.2">
      <c r="A26" s="24" t="str">
        <f>'Average Payroll Rankings'!A7</f>
        <v> SF</v>
      </c>
      <c r="B26" s="43">
        <f>'Average Payroll Rankings'!B7</f>
        <v>165348328</v>
      </c>
      <c r="D26" s="29">
        <f>'Playoff Apearances  - Win%'!D27</f>
        <v>38</v>
      </c>
      <c r="E26">
        <f>'Playoff Apearances  - Win%'!E27</f>
        <v>20</v>
      </c>
      <c r="F26" s="30">
        <f>'Playoff Apearances  - Win%'!F27</f>
        <v>0.65500000000000003</v>
      </c>
      <c r="G26" s="31">
        <f>'Playoff Apearances  - Win%'!G27</f>
        <v>58</v>
      </c>
      <c r="I26" s="29">
        <f>'Largest Free Agent Signing'!C26</f>
        <v>7</v>
      </c>
      <c r="J26" s="38">
        <f>'Largest Free Agent Signing'!D26</f>
        <v>182000000</v>
      </c>
      <c r="K26" s="40">
        <f t="shared" si="0"/>
        <v>26000000</v>
      </c>
      <c r="L26" s="22">
        <f>'Largest Free Agent Signing'!E26</f>
        <v>45633</v>
      </c>
      <c r="M26" s="31" t="str">
        <f>'Largest Free Agent Signing'!B26</f>
        <v>Willy Adames</v>
      </c>
      <c r="O26" t="s">
        <v>143</v>
      </c>
      <c r="P26" s="29" t="s">
        <v>227</v>
      </c>
      <c r="Q26" s="46">
        <v>5800000000</v>
      </c>
    </row>
    <row r="27" spans="1:17" x14ac:dyDescent="0.2">
      <c r="A27" s="24" t="str">
        <f>'Average Payroll Rankings'!A89</f>
        <v> STL</v>
      </c>
      <c r="B27" s="43">
        <f>'Average Payroll Rankings'!B89</f>
        <v>139401892.06666666</v>
      </c>
      <c r="D27" s="29">
        <f>'Playoff Apearances  - Win%'!D28</f>
        <v>36</v>
      </c>
      <c r="E27">
        <f>'Playoff Apearances  - Win%'!E28</f>
        <v>40</v>
      </c>
      <c r="F27" s="30">
        <f>'Playoff Apearances  - Win%'!F28</f>
        <v>0.47399999999999998</v>
      </c>
      <c r="G27" s="31">
        <f>'Playoff Apearances  - Win%'!G28</f>
        <v>76</v>
      </c>
      <c r="I27" s="29">
        <f>'Largest Free Agent Signing'!C27</f>
        <v>5</v>
      </c>
      <c r="J27" s="38">
        <f>'Largest Free Agent Signing'!D27</f>
        <v>130000000</v>
      </c>
      <c r="K27" s="40">
        <f t="shared" si="0"/>
        <v>26000000</v>
      </c>
      <c r="L27" s="22">
        <f>'Largest Free Agent Signing'!E27</f>
        <v>43548</v>
      </c>
      <c r="M27" s="31" t="str">
        <f>'Largest Free Agent Signing'!B27</f>
        <v>Paul Goldschmidt</v>
      </c>
      <c r="O27" t="s">
        <v>187</v>
      </c>
      <c r="P27" s="29" t="s">
        <v>223</v>
      </c>
      <c r="Q27" s="46">
        <v>4000000000</v>
      </c>
    </row>
    <row r="28" spans="1:17" x14ac:dyDescent="0.2">
      <c r="A28" s="24" t="str">
        <f>'Average Payroll Rankings'!A288</f>
        <v> TB</v>
      </c>
      <c r="B28" s="43">
        <f>'Average Payroll Rankings'!B288</f>
        <v>71519541.599999994</v>
      </c>
      <c r="D28" s="29">
        <f>'Playoff Apearances  - Win%'!D29</f>
        <v>20</v>
      </c>
      <c r="E28">
        <f>'Playoff Apearances  - Win%'!E29</f>
        <v>28</v>
      </c>
      <c r="F28" s="30">
        <f>'Playoff Apearances  - Win%'!F29</f>
        <v>0.41699999999999998</v>
      </c>
      <c r="G28" s="31">
        <f>'Playoff Apearances  - Win%'!G29</f>
        <v>48</v>
      </c>
      <c r="I28" s="29">
        <f>'Largest Free Agent Signing'!C28</f>
        <v>11</v>
      </c>
      <c r="J28" s="38">
        <f>'Largest Free Agent Signing'!D28</f>
        <v>182000000</v>
      </c>
      <c r="K28" s="40">
        <f t="shared" si="0"/>
        <v>16545454.545454545</v>
      </c>
      <c r="L28" s="22">
        <f>'Largest Free Agent Signing'!E28</f>
        <v>44527</v>
      </c>
      <c r="M28" s="31" t="str">
        <f>'Largest Free Agent Signing'!B28</f>
        <v>Wander Franco</v>
      </c>
      <c r="O28" t="s">
        <v>140</v>
      </c>
      <c r="P28" s="29" t="s">
        <v>237</v>
      </c>
      <c r="Q28" s="46">
        <v>800000000</v>
      </c>
    </row>
    <row r="29" spans="1:17" x14ac:dyDescent="0.2">
      <c r="A29" s="24" t="str">
        <f>'Average Payroll Rankings'!A87</f>
        <v> TEX</v>
      </c>
      <c r="B29" s="43">
        <f>'Average Payroll Rankings'!B87</f>
        <v>153111014.73333332</v>
      </c>
      <c r="D29" s="29">
        <f>'Playoff Apearances  - Win%'!D30</f>
        <v>33</v>
      </c>
      <c r="E29">
        <f>'Playoff Apearances  - Win%'!E30</f>
        <v>26</v>
      </c>
      <c r="F29" s="30">
        <f>'Playoff Apearances  - Win%'!F30</f>
        <v>0.55900000000000005</v>
      </c>
      <c r="G29" s="31">
        <f>'Playoff Apearances  - Win%'!G30</f>
        <v>59</v>
      </c>
      <c r="I29" s="29">
        <f>'Largest Free Agent Signing'!C29</f>
        <v>10</v>
      </c>
      <c r="J29" s="38">
        <f>'Largest Free Agent Signing'!D29</f>
        <v>325000000</v>
      </c>
      <c r="K29" s="40">
        <f t="shared" si="0"/>
        <v>32500000</v>
      </c>
      <c r="L29" s="22">
        <f>'Largest Free Agent Signing'!E29</f>
        <v>44531</v>
      </c>
      <c r="M29" s="31" t="str">
        <f>'Largest Free Agent Signing'!B29</f>
        <v>Corey Seager</v>
      </c>
      <c r="O29" t="s">
        <v>188</v>
      </c>
      <c r="P29" s="29" t="s">
        <v>246</v>
      </c>
      <c r="Q29" s="46">
        <v>2200000000</v>
      </c>
    </row>
    <row r="30" spans="1:17" x14ac:dyDescent="0.2">
      <c r="A30" s="24" t="str">
        <f>'Average Payroll Rankings'!A88</f>
        <v> TOR</v>
      </c>
      <c r="B30" s="43">
        <f>'Average Payroll Rankings'!B88</f>
        <v>149266188.73333332</v>
      </c>
      <c r="D30" s="29">
        <f>'Playoff Apearances  - Win%'!D31</f>
        <v>20</v>
      </c>
      <c r="E30">
        <f>'Playoff Apearances  - Win%'!E31</f>
        <v>24</v>
      </c>
      <c r="F30" s="30">
        <f>'Playoff Apearances  - Win%'!F31</f>
        <v>0.45500000000000002</v>
      </c>
      <c r="G30" s="31">
        <f>'Playoff Apearances  - Win%'!G31</f>
        <v>44</v>
      </c>
      <c r="I30" s="29">
        <f>'Largest Free Agent Signing'!C30</f>
        <v>14</v>
      </c>
      <c r="J30" s="38">
        <f>'Largest Free Agent Signing'!D30</f>
        <v>500000000</v>
      </c>
      <c r="K30" s="40">
        <f t="shared" si="0"/>
        <v>35714285.714285716</v>
      </c>
      <c r="L30" s="22">
        <f>'Largest Free Agent Signing'!E30</f>
        <v>45753</v>
      </c>
      <c r="M30" s="31" t="str">
        <f>'Largest Free Agent Signing'!B30</f>
        <v>Vladimir Guerrero Jr.</v>
      </c>
      <c r="O30" t="s">
        <v>196</v>
      </c>
      <c r="P30" s="29" t="s">
        <v>220</v>
      </c>
      <c r="Q30" s="46">
        <v>11500000000</v>
      </c>
    </row>
    <row r="31" spans="1:17" x14ac:dyDescent="0.2">
      <c r="A31" s="25" t="str">
        <f>'Average Payroll Rankings'!A93</f>
        <v> WSH</v>
      </c>
      <c r="B31" s="44">
        <f>'Average Payroll Rankings'!B93</f>
        <v>128384333.53333333</v>
      </c>
      <c r="D31" s="32">
        <f>'Playoff Apearances  - Win%'!D32</f>
        <v>19</v>
      </c>
      <c r="E31" s="9">
        <f>'Playoff Apearances  - Win%'!E32</f>
        <v>17</v>
      </c>
      <c r="F31" s="33">
        <f>'Playoff Apearances  - Win%'!F32</f>
        <v>0.52800000000000002</v>
      </c>
      <c r="G31" s="34">
        <f>'Playoff Apearances  - Win%'!G32</f>
        <v>36</v>
      </c>
      <c r="I31" s="32">
        <f>'Largest Free Agent Signing'!C31</f>
        <v>7</v>
      </c>
      <c r="J31" s="39">
        <f>'Largest Free Agent Signing'!D31</f>
        <v>245000000</v>
      </c>
      <c r="K31" s="41">
        <f t="shared" si="0"/>
        <v>35000000</v>
      </c>
      <c r="L31" s="35">
        <f>'Largest Free Agent Signing'!E31</f>
        <v>43808</v>
      </c>
      <c r="M31" s="34" t="str">
        <f>'Largest Free Agent Signing'!B31</f>
        <v>Stephen Strasburg</v>
      </c>
      <c r="O31" t="s">
        <v>197</v>
      </c>
      <c r="P31" s="32" t="s">
        <v>232</v>
      </c>
      <c r="Q31" s="47">
        <v>4900000000</v>
      </c>
    </row>
    <row r="63" spans="1:4" x14ac:dyDescent="0.2">
      <c r="A63" s="48" t="s">
        <v>247</v>
      </c>
      <c r="B63" s="49" t="s">
        <v>249</v>
      </c>
      <c r="C63" s="49" t="s">
        <v>248</v>
      </c>
      <c r="D63" s="50" t="s">
        <v>249</v>
      </c>
    </row>
    <row r="64" spans="1:4" x14ac:dyDescent="0.2">
      <c r="A64" s="51" t="s">
        <v>14</v>
      </c>
      <c r="B64" s="52">
        <f>VLOOKUP(A64,A2:B31,2)</f>
        <v>106423328.06666666</v>
      </c>
      <c r="C64" t="s">
        <v>119</v>
      </c>
      <c r="D64" s="31">
        <f>VLOOKUP(C64,A2:B31,2)</f>
        <v>72760230</v>
      </c>
    </row>
    <row r="65" spans="1:7" x14ac:dyDescent="0.2">
      <c r="A65" s="29" t="s">
        <v>2</v>
      </c>
      <c r="B65" s="52">
        <f t="shared" ref="B65:B78" si="1">VLOOKUP(A65,A3:B32,2)</f>
        <v>137132011.13333333</v>
      </c>
      <c r="C65" t="s">
        <v>24</v>
      </c>
      <c r="D65" s="31">
        <f t="shared" ref="D65:D78" si="2">VLOOKUP(C65,A3:B32,2)</f>
        <v>99300083.266666666</v>
      </c>
      <c r="F65" t="s">
        <v>275</v>
      </c>
      <c r="G65">
        <f>CORREL(B2:B31,G2:G31)</f>
        <v>0.61821876916629381</v>
      </c>
    </row>
    <row r="66" spans="1:7" x14ac:dyDescent="0.2">
      <c r="A66" s="29" t="s">
        <v>9</v>
      </c>
      <c r="B66" s="52">
        <f t="shared" si="1"/>
        <v>158070425.06666666</v>
      </c>
      <c r="C66" t="s">
        <v>12</v>
      </c>
      <c r="D66" s="31">
        <f t="shared" si="2"/>
        <v>188257976.07142857</v>
      </c>
    </row>
    <row r="67" spans="1:7" x14ac:dyDescent="0.2">
      <c r="A67" s="29" t="s">
        <v>28</v>
      </c>
      <c r="B67" s="52">
        <f t="shared" si="1"/>
        <v>101999983.2</v>
      </c>
      <c r="C67" t="s">
        <v>22</v>
      </c>
      <c r="D67" s="31">
        <f t="shared" si="2"/>
        <v>114527835.59999999</v>
      </c>
    </row>
    <row r="68" spans="1:7" x14ac:dyDescent="0.2">
      <c r="A68" s="29" t="s">
        <v>20</v>
      </c>
      <c r="B68" s="52">
        <f t="shared" si="1"/>
        <v>117714881</v>
      </c>
      <c r="C68" t="s">
        <v>25</v>
      </c>
      <c r="D68" s="31">
        <f t="shared" si="2"/>
        <v>88724100.733333334</v>
      </c>
    </row>
    <row r="69" spans="1:7" x14ac:dyDescent="0.2">
      <c r="A69" s="29" t="s">
        <v>121</v>
      </c>
      <c r="B69" s="52">
        <f t="shared" si="1"/>
        <v>75294152.066666663</v>
      </c>
      <c r="C69" t="s">
        <v>17</v>
      </c>
      <c r="D69" s="31">
        <f t="shared" si="2"/>
        <v>134997503.86666667</v>
      </c>
    </row>
    <row r="70" spans="1:7" x14ac:dyDescent="0.2">
      <c r="A70" s="29" t="s">
        <v>0</v>
      </c>
      <c r="B70" s="52">
        <f t="shared" si="1"/>
        <v>229894653.40000001</v>
      </c>
      <c r="C70" t="s">
        <v>7</v>
      </c>
      <c r="D70" s="31">
        <f t="shared" si="2"/>
        <v>136585891.13333333</v>
      </c>
    </row>
    <row r="71" spans="1:7" x14ac:dyDescent="0.2">
      <c r="A71" s="29" t="s">
        <v>18</v>
      </c>
      <c r="B71" s="52">
        <f t="shared" si="1"/>
        <v>102423038.93333334</v>
      </c>
      <c r="C71" t="s">
        <v>16</v>
      </c>
      <c r="D71" s="31">
        <f t="shared" si="2"/>
        <v>102048448.53333333</v>
      </c>
    </row>
    <row r="72" spans="1:7" x14ac:dyDescent="0.2">
      <c r="A72" s="29" t="s">
        <v>3</v>
      </c>
      <c r="B72" s="52">
        <f t="shared" si="1"/>
        <v>180637794.13333333</v>
      </c>
      <c r="C72" t="s">
        <v>13</v>
      </c>
      <c r="D72" s="31">
        <f t="shared" si="2"/>
        <v>164645919.53333333</v>
      </c>
    </row>
    <row r="73" spans="1:7" x14ac:dyDescent="0.2">
      <c r="A73" s="29" t="s">
        <v>6</v>
      </c>
      <c r="B73" s="52">
        <f t="shared" si="1"/>
        <v>172716183.06666666</v>
      </c>
      <c r="C73" t="s">
        <v>23</v>
      </c>
      <c r="D73" s="31">
        <f t="shared" si="2"/>
        <v>113605922.8</v>
      </c>
    </row>
    <row r="74" spans="1:7" x14ac:dyDescent="0.2">
      <c r="A74" s="29" t="s">
        <v>26</v>
      </c>
      <c r="B74" s="52">
        <f t="shared" si="1"/>
        <v>73389085</v>
      </c>
      <c r="C74" t="s">
        <v>5</v>
      </c>
      <c r="D74" s="31">
        <f t="shared" si="2"/>
        <v>209023728.25</v>
      </c>
    </row>
    <row r="75" spans="1:7" x14ac:dyDescent="0.2">
      <c r="A75" s="29" t="s">
        <v>8</v>
      </c>
      <c r="B75" s="52">
        <f t="shared" si="1"/>
        <v>124571453.46666667</v>
      </c>
      <c r="C75" t="s">
        <v>15</v>
      </c>
      <c r="D75" s="31">
        <f t="shared" si="2"/>
        <v>120914727.13333334</v>
      </c>
    </row>
    <row r="76" spans="1:7" x14ac:dyDescent="0.2">
      <c r="A76" s="29" t="s">
        <v>11</v>
      </c>
      <c r="B76" s="52">
        <f t="shared" si="1"/>
        <v>165348328</v>
      </c>
      <c r="C76" t="s">
        <v>27</v>
      </c>
      <c r="D76" s="31">
        <f t="shared" si="2"/>
        <v>71519541.599999994</v>
      </c>
    </row>
    <row r="77" spans="1:7" x14ac:dyDescent="0.2">
      <c r="A77" s="29" t="s">
        <v>19</v>
      </c>
      <c r="B77" s="52">
        <f t="shared" si="1"/>
        <v>139401892.06666666</v>
      </c>
      <c r="C77" t="s">
        <v>10</v>
      </c>
      <c r="D77" s="31">
        <f t="shared" si="2"/>
        <v>153111014.73333332</v>
      </c>
    </row>
    <row r="78" spans="1:7" x14ac:dyDescent="0.2">
      <c r="A78" s="32" t="s">
        <v>30</v>
      </c>
      <c r="B78" s="53">
        <f t="shared" si="1"/>
        <v>128384333.53333333</v>
      </c>
      <c r="C78" s="9" t="s">
        <v>4</v>
      </c>
      <c r="D78" s="34">
        <f t="shared" si="2"/>
        <v>149266188.73333332</v>
      </c>
    </row>
    <row r="80" spans="1:7" x14ac:dyDescent="0.2">
      <c r="A80" s="11" t="s">
        <v>250</v>
      </c>
      <c r="B80" s="37">
        <f>AVERAGE(B64:B78)</f>
        <v>134226769.47555554</v>
      </c>
      <c r="D80" s="37">
        <f>AVERAGE(D64:D78)</f>
        <v>127952607.46587302</v>
      </c>
    </row>
    <row r="82" spans="1:2" x14ac:dyDescent="0.2">
      <c r="A82" t="s">
        <v>276</v>
      </c>
      <c r="B82" s="37">
        <f>AVERAGE(B80,D80)</f>
        <v>131089688.47071427</v>
      </c>
    </row>
    <row r="83" spans="1:2" x14ac:dyDescent="0.2">
      <c r="B83" s="37"/>
    </row>
    <row r="84" spans="1:2" x14ac:dyDescent="0.2">
      <c r="B84" s="37"/>
    </row>
    <row r="85" spans="1:2" x14ac:dyDescent="0.2">
      <c r="B85" s="45" t="s">
        <v>279</v>
      </c>
    </row>
    <row r="86" spans="1:2" x14ac:dyDescent="0.2">
      <c r="A86" t="s">
        <v>14</v>
      </c>
      <c r="B86" s="37">
        <f>B2/$B$82</f>
        <v>0.81183599799645467</v>
      </c>
    </row>
    <row r="87" spans="1:2" x14ac:dyDescent="0.2">
      <c r="A87" t="s">
        <v>119</v>
      </c>
      <c r="B87" s="37">
        <f t="shared" ref="B87:B115" si="3">B3/$B$82</f>
        <v>0.55504159670235842</v>
      </c>
    </row>
    <row r="88" spans="1:2" x14ac:dyDescent="0.2">
      <c r="A88" t="s">
        <v>2</v>
      </c>
      <c r="B88" s="37">
        <f t="shared" si="3"/>
        <v>1.0460930431150497</v>
      </c>
    </row>
    <row r="89" spans="1:2" x14ac:dyDescent="0.2">
      <c r="A89" t="s">
        <v>24</v>
      </c>
      <c r="B89" s="37">
        <f t="shared" si="3"/>
        <v>0.75749728620989532</v>
      </c>
    </row>
    <row r="90" spans="1:2" x14ac:dyDescent="0.2">
      <c r="A90" t="s">
        <v>12</v>
      </c>
      <c r="B90" s="37">
        <f t="shared" si="3"/>
        <v>1.4361005679976562</v>
      </c>
    </row>
    <row r="91" spans="1:2" x14ac:dyDescent="0.2">
      <c r="A91" t="s">
        <v>9</v>
      </c>
      <c r="B91" s="37">
        <f t="shared" si="3"/>
        <v>1.205818908494698</v>
      </c>
    </row>
    <row r="92" spans="1:2" x14ac:dyDescent="0.2">
      <c r="A92" t="s">
        <v>22</v>
      </c>
      <c r="B92" s="37">
        <f t="shared" si="3"/>
        <v>0.87366014013822124</v>
      </c>
    </row>
    <row r="93" spans="1:2" x14ac:dyDescent="0.2">
      <c r="A93" t="s">
        <v>28</v>
      </c>
      <c r="B93" s="37">
        <f t="shared" si="3"/>
        <v>0.77809310854214919</v>
      </c>
    </row>
    <row r="94" spans="1:2" x14ac:dyDescent="0.2">
      <c r="A94" t="s">
        <v>25</v>
      </c>
      <c r="B94" s="37">
        <f t="shared" si="3"/>
        <v>0.67681983051744377</v>
      </c>
    </row>
    <row r="95" spans="1:2" x14ac:dyDescent="0.2">
      <c r="A95" t="s">
        <v>20</v>
      </c>
      <c r="B95" s="37">
        <f t="shared" si="3"/>
        <v>0.8979720859302962</v>
      </c>
    </row>
    <row r="96" spans="1:2" x14ac:dyDescent="0.2">
      <c r="A96" t="s">
        <v>17</v>
      </c>
      <c r="B96" s="37">
        <f t="shared" si="3"/>
        <v>1.0298102424495839</v>
      </c>
    </row>
    <row r="97" spans="1:2" x14ac:dyDescent="0.2">
      <c r="A97" t="s">
        <v>121</v>
      </c>
      <c r="B97" s="37">
        <f t="shared" si="3"/>
        <v>0.57437127927485732</v>
      </c>
    </row>
    <row r="98" spans="1:2" x14ac:dyDescent="0.2">
      <c r="A98" t="s">
        <v>7</v>
      </c>
      <c r="B98" s="37">
        <f t="shared" si="3"/>
        <v>1.041927040385384</v>
      </c>
    </row>
    <row r="99" spans="1:2" x14ac:dyDescent="0.2">
      <c r="A99" t="s">
        <v>16</v>
      </c>
      <c r="B99" s="37">
        <f t="shared" si="3"/>
        <v>0.77846281979784537</v>
      </c>
    </row>
    <row r="100" spans="1:2" x14ac:dyDescent="0.2">
      <c r="A100" t="s">
        <v>13</v>
      </c>
      <c r="B100" s="37">
        <f t="shared" si="3"/>
        <v>1.2559791807737464</v>
      </c>
    </row>
    <row r="101" spans="1:2" x14ac:dyDescent="0.2">
      <c r="A101" t="s">
        <v>0</v>
      </c>
      <c r="B101" s="37">
        <f t="shared" si="3"/>
        <v>1.7537203427816443</v>
      </c>
    </row>
    <row r="102" spans="1:2" x14ac:dyDescent="0.2">
      <c r="A102" t="s">
        <v>18</v>
      </c>
      <c r="B102" s="37">
        <f t="shared" si="3"/>
        <v>0.78132033211914198</v>
      </c>
    </row>
    <row r="103" spans="1:2" x14ac:dyDescent="0.2">
      <c r="A103" t="s">
        <v>23</v>
      </c>
      <c r="B103" s="37">
        <f t="shared" si="3"/>
        <v>0.8666274527411042</v>
      </c>
    </row>
    <row r="104" spans="1:2" x14ac:dyDescent="0.2">
      <c r="A104" t="s">
        <v>3</v>
      </c>
      <c r="B104" s="37">
        <f t="shared" si="3"/>
        <v>1.3779710383070154</v>
      </c>
    </row>
    <row r="105" spans="1:2" x14ac:dyDescent="0.2">
      <c r="A105" t="s">
        <v>5</v>
      </c>
      <c r="B105" s="37">
        <f t="shared" si="3"/>
        <v>1.5945093064791009</v>
      </c>
    </row>
    <row r="106" spans="1:2" x14ac:dyDescent="0.2">
      <c r="A106" t="s">
        <v>6</v>
      </c>
      <c r="B106" s="37">
        <f t="shared" si="3"/>
        <v>1.3175420971822041</v>
      </c>
    </row>
    <row r="107" spans="1:2" x14ac:dyDescent="0.2">
      <c r="A107" t="s">
        <v>26</v>
      </c>
      <c r="B107" s="37">
        <f t="shared" si="3"/>
        <v>0.55983873221573244</v>
      </c>
    </row>
    <row r="108" spans="1:2" x14ac:dyDescent="0.2">
      <c r="A108" t="s">
        <v>8</v>
      </c>
      <c r="B108" s="37">
        <f t="shared" si="3"/>
        <v>0.95027652380527405</v>
      </c>
    </row>
    <row r="109" spans="1:2" x14ac:dyDescent="0.2">
      <c r="A109" t="s">
        <v>15</v>
      </c>
      <c r="B109" s="37">
        <f t="shared" si="3"/>
        <v>0.92238168038934631</v>
      </c>
    </row>
    <row r="110" spans="1:2" x14ac:dyDescent="0.2">
      <c r="A110" t="s">
        <v>11</v>
      </c>
      <c r="B110" s="37">
        <f t="shared" si="3"/>
        <v>1.2613374089826996</v>
      </c>
    </row>
    <row r="111" spans="1:2" x14ac:dyDescent="0.2">
      <c r="A111" t="s">
        <v>19</v>
      </c>
      <c r="B111" s="37">
        <f t="shared" si="3"/>
        <v>1.0634085235301276</v>
      </c>
    </row>
    <row r="112" spans="1:2" x14ac:dyDescent="0.2">
      <c r="A112" t="s">
        <v>27</v>
      </c>
      <c r="B112" s="37">
        <f t="shared" si="3"/>
        <v>0.54557717265441219</v>
      </c>
    </row>
    <row r="113" spans="1:2" x14ac:dyDescent="0.2">
      <c r="A113" t="s">
        <v>10</v>
      </c>
      <c r="B113" s="37">
        <f t="shared" si="3"/>
        <v>1.1679867159615585</v>
      </c>
    </row>
    <row r="114" spans="1:2" x14ac:dyDescent="0.2">
      <c r="A114" t="s">
        <v>4</v>
      </c>
      <c r="B114" s="37">
        <f t="shared" si="3"/>
        <v>1.1386569796195658</v>
      </c>
    </row>
    <row r="115" spans="1:2" x14ac:dyDescent="0.2">
      <c r="A115" t="s">
        <v>30</v>
      </c>
      <c r="B115" s="37">
        <f t="shared" si="3"/>
        <v>0.97936256490543627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B184F-B107-EC4E-BEF9-77E1EA1CB6C8}">
  <dimension ref="A1"/>
  <sheetViews>
    <sheetView workbookViewId="0">
      <selection activeCell="M29" sqref="M29"/>
    </sheetView>
  </sheetViews>
  <sheetFormatPr baseColWidth="10" defaultRowHeight="16" x14ac:dyDescent="0.2"/>
  <sheetData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Average Payroll Rankings</vt:lpstr>
      <vt:lpstr>Playoff Apearances  - Win%</vt:lpstr>
      <vt:lpstr>Largest Free Agent Signing</vt:lpstr>
      <vt:lpstr>CP 6 Regression</vt:lpstr>
      <vt:lpstr>CP 7 Regression</vt:lpstr>
      <vt:lpstr>DataDictionary</vt:lpstr>
      <vt:lpstr>Relationships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ostensen</dc:creator>
  <cp:lastModifiedBy>john ostensen</cp:lastModifiedBy>
  <cp:lastPrinted>2025-12-18T03:10:02Z</cp:lastPrinted>
  <dcterms:created xsi:type="dcterms:W3CDTF">2025-11-25T01:42:14Z</dcterms:created>
  <dcterms:modified xsi:type="dcterms:W3CDTF">2025-12-18T03:10:36Z</dcterms:modified>
</cp:coreProperties>
</file>